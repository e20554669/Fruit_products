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\Desktop\"/>
    </mc:Choice>
  </mc:AlternateContent>
  <xr:revisionPtr revIDLastSave="0" documentId="13_ncr:1_{E683A88A-25B2-423F-86B5-2116AEFA75A0}" xr6:coauthVersionLast="47" xr6:coauthVersionMax="47" xr10:uidLastSave="{00000000-0000-0000-0000-000000000000}"/>
  <bookViews>
    <workbookView xWindow="-98" yWindow="-98" windowWidth="21795" windowHeight="12975" activeTab="2" xr2:uid="{279C0859-7E3C-4EC3-A685-995EF1192AAD}"/>
  </bookViews>
  <sheets>
    <sheet name="站別清單(無人氣象站)" sheetId="1" r:id="rId1"/>
    <sheet name="Gemini建議" sheetId="9" r:id="rId2"/>
    <sheet name="對照表" sheetId="17" r:id="rId3"/>
  </sheets>
  <definedNames>
    <definedName name="_xlnm._FilterDatabase" localSheetId="2" hidden="1">對照表!$A$1:$T$128</definedName>
  </definedNames>
  <calcPr calcId="191029"/>
  <pivotCaches>
    <pivotCache cacheId="8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8" i="17" l="1"/>
  <c r="G3" i="9"/>
  <c r="G4" i="9"/>
  <c r="G2" i="9"/>
  <c r="A105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L173" i="1" l="1"/>
  <c r="L56" i="1"/>
  <c r="L153" i="1"/>
  <c r="L224" i="1"/>
  <c r="L606" i="1"/>
  <c r="L590" i="1"/>
  <c r="L574" i="1"/>
  <c r="L558" i="1"/>
  <c r="L542" i="1"/>
  <c r="L526" i="1"/>
  <c r="L510" i="1"/>
  <c r="L494" i="1"/>
  <c r="L478" i="1"/>
  <c r="L462" i="1"/>
  <c r="L446" i="1"/>
  <c r="L430" i="1"/>
  <c r="L414" i="1"/>
  <c r="L398" i="1"/>
  <c r="L382" i="1"/>
  <c r="L366" i="1"/>
  <c r="L350" i="1"/>
  <c r="L334" i="1"/>
  <c r="L318" i="1"/>
  <c r="L302" i="1"/>
  <c r="L286" i="1"/>
  <c r="L270" i="1"/>
  <c r="L254" i="1"/>
  <c r="L238" i="1"/>
  <c r="L222" i="1"/>
  <c r="L206" i="1"/>
  <c r="L190" i="1"/>
  <c r="L174" i="1"/>
  <c r="L158" i="1"/>
  <c r="L142" i="1"/>
  <c r="L126" i="1"/>
  <c r="L110" i="1"/>
  <c r="L94" i="1"/>
  <c r="L78" i="1"/>
  <c r="L62" i="1"/>
  <c r="L46" i="1"/>
  <c r="L30" i="1"/>
  <c r="L14" i="1"/>
  <c r="L605" i="1"/>
  <c r="L589" i="1"/>
  <c r="L573" i="1"/>
  <c r="L557" i="1"/>
  <c r="L541" i="1"/>
  <c r="L525" i="1"/>
  <c r="L509" i="1"/>
  <c r="L493" i="1"/>
  <c r="L477" i="1"/>
  <c r="L461" i="1"/>
  <c r="L445" i="1"/>
  <c r="L429" i="1"/>
  <c r="L413" i="1"/>
  <c r="L397" i="1"/>
  <c r="L620" i="1"/>
  <c r="L604" i="1"/>
  <c r="L619" i="1"/>
  <c r="L603" i="1"/>
  <c r="L587" i="1"/>
  <c r="L571" i="1"/>
  <c r="L555" i="1"/>
  <c r="L539" i="1"/>
  <c r="L523" i="1"/>
  <c r="L507" i="1"/>
  <c r="L491" i="1"/>
  <c r="L475" i="1"/>
  <c r="L459" i="1"/>
  <c r="L443" i="1"/>
  <c r="L427" i="1"/>
  <c r="L411" i="1"/>
  <c r="L395" i="1"/>
  <c r="L379" i="1"/>
  <c r="L363" i="1"/>
  <c r="L347" i="1"/>
  <c r="L331" i="1"/>
  <c r="L315" i="1"/>
  <c r="L299" i="1"/>
  <c r="L283" i="1"/>
  <c r="L267" i="1"/>
  <c r="L251" i="1"/>
  <c r="L235" i="1"/>
  <c r="L219" i="1"/>
  <c r="L203" i="1"/>
  <c r="L187" i="1"/>
  <c r="L171" i="1"/>
  <c r="L155" i="1"/>
  <c r="L139" i="1"/>
  <c r="L123" i="1"/>
  <c r="L107" i="1"/>
  <c r="L91" i="1"/>
  <c r="L75" i="1"/>
  <c r="L59" i="1"/>
  <c r="L43" i="1"/>
  <c r="L27" i="1"/>
  <c r="L618" i="1"/>
  <c r="L602" i="1"/>
  <c r="L586" i="1"/>
  <c r="L570" i="1"/>
  <c r="L554" i="1"/>
  <c r="L538" i="1"/>
  <c r="L522" i="1"/>
  <c r="L506" i="1"/>
  <c r="L490" i="1"/>
  <c r="L474" i="1"/>
  <c r="L458" i="1"/>
  <c r="L442" i="1"/>
  <c r="L426" i="1"/>
  <c r="L410" i="1"/>
  <c r="L394" i="1"/>
  <c r="L378" i="1"/>
  <c r="L362" i="1"/>
  <c r="L346" i="1"/>
  <c r="L330" i="1"/>
  <c r="L314" i="1"/>
  <c r="L298" i="1"/>
  <c r="L282" i="1"/>
  <c r="L266" i="1"/>
  <c r="L250" i="1"/>
  <c r="L234" i="1"/>
  <c r="L218" i="1"/>
  <c r="L202" i="1"/>
  <c r="L186" i="1"/>
  <c r="L170" i="1"/>
  <c r="L154" i="1"/>
  <c r="L138" i="1"/>
  <c r="L122" i="1"/>
  <c r="L106" i="1"/>
  <c r="L90" i="1"/>
  <c r="L74" i="1"/>
  <c r="L58" i="1"/>
  <c r="L42" i="1"/>
  <c r="L26" i="1"/>
  <c r="L10" i="1"/>
  <c r="L617" i="1"/>
  <c r="L601" i="1"/>
  <c r="L585" i="1"/>
  <c r="L569" i="1"/>
  <c r="L553" i="1"/>
  <c r="L537" i="1"/>
  <c r="L521" i="1"/>
  <c r="L505" i="1"/>
  <c r="L489" i="1"/>
  <c r="L473" i="1"/>
  <c r="L457" i="1"/>
  <c r="L441" i="1"/>
  <c r="L425" i="1"/>
  <c r="L409" i="1"/>
  <c r="L393" i="1"/>
  <c r="L377" i="1"/>
  <c r="L361" i="1"/>
  <c r="L345" i="1"/>
  <c r="L329" i="1"/>
  <c r="L313" i="1"/>
  <c r="L297" i="1"/>
  <c r="L281" i="1"/>
  <c r="L265" i="1"/>
  <c r="L249" i="1"/>
  <c r="L233" i="1"/>
  <c r="L217" i="1"/>
  <c r="L201" i="1"/>
  <c r="L185" i="1"/>
  <c r="L169" i="1"/>
  <c r="L137" i="1"/>
  <c r="L616" i="1"/>
  <c r="L600" i="1"/>
  <c r="L584" i="1"/>
  <c r="L568" i="1"/>
  <c r="L552" i="1"/>
  <c r="L536" i="1"/>
  <c r="L520" i="1"/>
  <c r="L504" i="1"/>
  <c r="L488" i="1"/>
  <c r="L472" i="1"/>
  <c r="L456" i="1"/>
  <c r="L440" i="1"/>
  <c r="L424" i="1"/>
  <c r="L408" i="1"/>
  <c r="L392" i="1"/>
  <c r="L376" i="1"/>
  <c r="L360" i="1"/>
  <c r="L344" i="1"/>
  <c r="L328" i="1"/>
  <c r="L615" i="1"/>
  <c r="L599" i="1"/>
  <c r="L583" i="1"/>
  <c r="L567" i="1"/>
  <c r="L551" i="1"/>
  <c r="L535" i="1"/>
  <c r="L519" i="1"/>
  <c r="L503" i="1"/>
  <c r="L487" i="1"/>
  <c r="L471" i="1"/>
  <c r="L455" i="1"/>
  <c r="L439" i="1"/>
  <c r="L423" i="1"/>
  <c r="L407" i="1"/>
  <c r="L391" i="1"/>
  <c r="L375" i="1"/>
  <c r="L359" i="1"/>
  <c r="L343" i="1"/>
  <c r="L327" i="1"/>
  <c r="L311" i="1"/>
  <c r="L295" i="1"/>
  <c r="L279" i="1"/>
  <c r="L263" i="1"/>
  <c r="L614" i="1"/>
  <c r="L598" i="1"/>
  <c r="L582" i="1"/>
  <c r="L566" i="1"/>
  <c r="L550" i="1"/>
  <c r="L534" i="1"/>
  <c r="L518" i="1"/>
  <c r="L502" i="1"/>
  <c r="L486" i="1"/>
  <c r="L470" i="1"/>
  <c r="L454" i="1"/>
  <c r="L438" i="1"/>
  <c r="L422" i="1"/>
  <c r="L406" i="1"/>
  <c r="L390" i="1"/>
  <c r="L374" i="1"/>
  <c r="L358" i="1"/>
  <c r="L342" i="1"/>
  <c r="L326" i="1"/>
  <c r="L310" i="1"/>
  <c r="L294" i="1"/>
  <c r="L613" i="1"/>
  <c r="L597" i="1"/>
  <c r="L581" i="1"/>
  <c r="L565" i="1"/>
  <c r="L549" i="1"/>
  <c r="L533" i="1"/>
  <c r="L517" i="1"/>
  <c r="L612" i="1"/>
  <c r="L596" i="1"/>
  <c r="L580" i="1"/>
  <c r="L564" i="1"/>
  <c r="L548" i="1"/>
  <c r="L532" i="1"/>
  <c r="L516" i="1"/>
  <c r="L500" i="1"/>
  <c r="L484" i="1"/>
  <c r="L468" i="1"/>
  <c r="L452" i="1"/>
  <c r="L436" i="1"/>
  <c r="L420" i="1"/>
  <c r="L404" i="1"/>
  <c r="L388" i="1"/>
  <c r="L372" i="1"/>
  <c r="L356" i="1"/>
  <c r="L340" i="1"/>
  <c r="L324" i="1"/>
  <c r="L308" i="1"/>
  <c r="L292" i="1"/>
  <c r="L276" i="1"/>
  <c r="L260" i="1"/>
  <c r="L244" i="1"/>
  <c r="L228" i="1"/>
  <c r="L212" i="1"/>
  <c r="L196" i="1"/>
  <c r="L180" i="1"/>
  <c r="L164" i="1"/>
  <c r="L148" i="1"/>
  <c r="L132" i="1"/>
  <c r="L611" i="1"/>
  <c r="L595" i="1"/>
  <c r="L579" i="1"/>
  <c r="L563" i="1"/>
  <c r="L610" i="1"/>
  <c r="L594" i="1"/>
  <c r="L578" i="1"/>
  <c r="L562" i="1"/>
  <c r="L546" i="1"/>
  <c r="L530" i="1"/>
  <c r="L514" i="1"/>
  <c r="L498" i="1"/>
  <c r="L482" i="1"/>
  <c r="L466" i="1"/>
  <c r="L450" i="1"/>
  <c r="L434" i="1"/>
  <c r="L418" i="1"/>
  <c r="L608" i="1"/>
  <c r="L592" i="1"/>
  <c r="L576" i="1"/>
  <c r="L560" i="1"/>
  <c r="L544" i="1"/>
  <c r="L528" i="1"/>
  <c r="L512" i="1"/>
  <c r="L496" i="1"/>
  <c r="L480" i="1"/>
  <c r="L464" i="1"/>
  <c r="L448" i="1"/>
  <c r="L432" i="1"/>
  <c r="L416" i="1"/>
  <c r="L400" i="1"/>
  <c r="L384" i="1"/>
  <c r="L368" i="1"/>
  <c r="L607" i="1"/>
  <c r="L591" i="1"/>
  <c r="L381" i="1"/>
  <c r="L365" i="1"/>
  <c r="L349" i="1"/>
  <c r="L333" i="1"/>
  <c r="L317" i="1"/>
  <c r="L301" i="1"/>
  <c r="L285" i="1"/>
  <c r="L269" i="1"/>
  <c r="L253" i="1"/>
  <c r="L237" i="1"/>
  <c r="L221" i="1"/>
  <c r="L205" i="1"/>
  <c r="L189" i="1"/>
  <c r="L157" i="1"/>
  <c r="L141" i="1"/>
  <c r="L125" i="1"/>
  <c r="L109" i="1"/>
  <c r="L93" i="1"/>
  <c r="L77" i="1"/>
  <c r="L61" i="1"/>
  <c r="L45" i="1"/>
  <c r="L29" i="1"/>
  <c r="L13" i="1"/>
  <c r="L588" i="1"/>
  <c r="L572" i="1"/>
  <c r="L556" i="1"/>
  <c r="L540" i="1"/>
  <c r="L524" i="1"/>
  <c r="L508" i="1"/>
  <c r="L492" i="1"/>
  <c r="L476" i="1"/>
  <c r="L460" i="1"/>
  <c r="L444" i="1"/>
  <c r="L428" i="1"/>
  <c r="L412" i="1"/>
  <c r="L396" i="1"/>
  <c r="L380" i="1"/>
  <c r="L364" i="1"/>
  <c r="L348" i="1"/>
  <c r="L332" i="1"/>
  <c r="L316" i="1"/>
  <c r="L300" i="1"/>
  <c r="L284" i="1"/>
  <c r="L268" i="1"/>
  <c r="L252" i="1"/>
  <c r="L236" i="1"/>
  <c r="L220" i="1"/>
  <c r="L204" i="1"/>
  <c r="L188" i="1"/>
  <c r="L172" i="1"/>
  <c r="L156" i="1"/>
  <c r="L140" i="1"/>
  <c r="L124" i="1"/>
  <c r="L108" i="1"/>
  <c r="L92" i="1"/>
  <c r="L76" i="1"/>
  <c r="L60" i="1"/>
  <c r="L44" i="1"/>
  <c r="L28" i="1"/>
  <c r="L12" i="1"/>
  <c r="L11" i="1"/>
  <c r="L121" i="1"/>
  <c r="L105" i="1"/>
  <c r="L89" i="1"/>
  <c r="L73" i="1"/>
  <c r="L57" i="1"/>
  <c r="L41" i="1"/>
  <c r="L25" i="1"/>
  <c r="L9" i="1"/>
  <c r="L312" i="1"/>
  <c r="L296" i="1"/>
  <c r="L280" i="1"/>
  <c r="L264" i="1"/>
  <c r="L248" i="1"/>
  <c r="L232" i="1"/>
  <c r="L216" i="1"/>
  <c r="L200" i="1"/>
  <c r="L184" i="1"/>
  <c r="L168" i="1"/>
  <c r="L152" i="1"/>
  <c r="L136" i="1"/>
  <c r="L120" i="1"/>
  <c r="L104" i="1"/>
  <c r="L88" i="1"/>
  <c r="L72" i="1"/>
  <c r="L40" i="1"/>
  <c r="L24" i="1"/>
  <c r="L8" i="1"/>
  <c r="L247" i="1"/>
  <c r="L231" i="1"/>
  <c r="L215" i="1"/>
  <c r="L199" i="1"/>
  <c r="L183" i="1"/>
  <c r="L167" i="1"/>
  <c r="L151" i="1"/>
  <c r="L135" i="1"/>
  <c r="L119" i="1"/>
  <c r="L103" i="1"/>
  <c r="L87" i="1"/>
  <c r="L71" i="1"/>
  <c r="L55" i="1"/>
  <c r="L39" i="1"/>
  <c r="L23" i="1"/>
  <c r="L7" i="1"/>
  <c r="L278" i="1"/>
  <c r="L262" i="1"/>
  <c r="L246" i="1"/>
  <c r="L230" i="1"/>
  <c r="L214" i="1"/>
  <c r="L198" i="1"/>
  <c r="L182" i="1"/>
  <c r="L166" i="1"/>
  <c r="L150" i="1"/>
  <c r="L134" i="1"/>
  <c r="L118" i="1"/>
  <c r="L102" i="1"/>
  <c r="L86" i="1"/>
  <c r="L70" i="1"/>
  <c r="L54" i="1"/>
  <c r="L38" i="1"/>
  <c r="L22" i="1"/>
  <c r="L6" i="1"/>
  <c r="L501" i="1"/>
  <c r="L485" i="1"/>
  <c r="L469" i="1"/>
  <c r="L453" i="1"/>
  <c r="L437" i="1"/>
  <c r="L421" i="1"/>
  <c r="L405" i="1"/>
  <c r="L389" i="1"/>
  <c r="L373" i="1"/>
  <c r="L357" i="1"/>
  <c r="L341" i="1"/>
  <c r="L325" i="1"/>
  <c r="L309" i="1"/>
  <c r="L293" i="1"/>
  <c r="L277" i="1"/>
  <c r="L261" i="1"/>
  <c r="L245" i="1"/>
  <c r="L229" i="1"/>
  <c r="L213" i="1"/>
  <c r="L197" i="1"/>
  <c r="L181" i="1"/>
  <c r="L165" i="1"/>
  <c r="L149" i="1"/>
  <c r="L133" i="1"/>
  <c r="L117" i="1"/>
  <c r="L101" i="1"/>
  <c r="L85" i="1"/>
  <c r="L69" i="1"/>
  <c r="L53" i="1"/>
  <c r="L37" i="1"/>
  <c r="L21" i="1"/>
  <c r="L5" i="1"/>
  <c r="L116" i="1"/>
  <c r="L100" i="1"/>
  <c r="L84" i="1"/>
  <c r="L68" i="1"/>
  <c r="L52" i="1"/>
  <c r="L36" i="1"/>
  <c r="L20" i="1"/>
  <c r="L4" i="1"/>
  <c r="L547" i="1"/>
  <c r="L531" i="1"/>
  <c r="L515" i="1"/>
  <c r="L499" i="1"/>
  <c r="L483" i="1"/>
  <c r="L467" i="1"/>
  <c r="L451" i="1"/>
  <c r="L435" i="1"/>
  <c r="L419" i="1"/>
  <c r="L403" i="1"/>
  <c r="L387" i="1"/>
  <c r="L371" i="1"/>
  <c r="L355" i="1"/>
  <c r="L339" i="1"/>
  <c r="L323" i="1"/>
  <c r="L307" i="1"/>
  <c r="L291" i="1"/>
  <c r="L275" i="1"/>
  <c r="L259" i="1"/>
  <c r="L243" i="1"/>
  <c r="L227" i="1"/>
  <c r="L211" i="1"/>
  <c r="L195" i="1"/>
  <c r="L179" i="1"/>
  <c r="L163" i="1"/>
  <c r="L147" i="1"/>
  <c r="L131" i="1"/>
  <c r="L115" i="1"/>
  <c r="L99" i="1"/>
  <c r="L83" i="1"/>
  <c r="L67" i="1"/>
  <c r="L51" i="1"/>
  <c r="L35" i="1"/>
  <c r="L19" i="1"/>
  <c r="L3" i="1"/>
  <c r="L402" i="1"/>
  <c r="L386" i="1"/>
  <c r="L370" i="1"/>
  <c r="L354" i="1"/>
  <c r="L338" i="1"/>
  <c r="L322" i="1"/>
  <c r="L306" i="1"/>
  <c r="L290" i="1"/>
  <c r="L274" i="1"/>
  <c r="L258" i="1"/>
  <c r="L242" i="1"/>
  <c r="L226" i="1"/>
  <c r="L210" i="1"/>
  <c r="L194" i="1"/>
  <c r="L178" i="1"/>
  <c r="L162" i="1"/>
  <c r="L146" i="1"/>
  <c r="L130" i="1"/>
  <c r="L114" i="1"/>
  <c r="L98" i="1"/>
  <c r="L82" i="1"/>
  <c r="L66" i="1"/>
  <c r="L50" i="1"/>
  <c r="L34" i="1"/>
  <c r="L18" i="1"/>
  <c r="L2" i="1"/>
  <c r="L609" i="1"/>
  <c r="L593" i="1"/>
  <c r="L577" i="1"/>
  <c r="L561" i="1"/>
  <c r="L545" i="1"/>
  <c r="L529" i="1"/>
  <c r="L513" i="1"/>
  <c r="L497" i="1"/>
  <c r="L481" i="1"/>
  <c r="L465" i="1"/>
  <c r="L449" i="1"/>
  <c r="L433" i="1"/>
  <c r="L417" i="1"/>
  <c r="L401" i="1"/>
  <c r="L385" i="1"/>
  <c r="L369" i="1"/>
  <c r="L353" i="1"/>
  <c r="L337" i="1"/>
  <c r="L321" i="1"/>
  <c r="L305" i="1"/>
  <c r="L289" i="1"/>
  <c r="L273" i="1"/>
  <c r="L257" i="1"/>
  <c r="L241" i="1"/>
  <c r="L225" i="1"/>
  <c r="L209" i="1"/>
  <c r="L193" i="1"/>
  <c r="L177" i="1"/>
  <c r="L161" i="1"/>
  <c r="L145" i="1"/>
  <c r="L129" i="1"/>
  <c r="L113" i="1"/>
  <c r="L97" i="1"/>
  <c r="L81" i="1"/>
  <c r="L65" i="1"/>
  <c r="L49" i="1"/>
  <c r="L33" i="1"/>
  <c r="L17" i="1"/>
  <c r="L352" i="1"/>
  <c r="L336" i="1"/>
  <c r="L320" i="1"/>
  <c r="L304" i="1"/>
  <c r="L288" i="1"/>
  <c r="L272" i="1"/>
  <c r="L256" i="1"/>
  <c r="L240" i="1"/>
  <c r="L208" i="1"/>
  <c r="L192" i="1"/>
  <c r="L176" i="1"/>
  <c r="L160" i="1"/>
  <c r="L144" i="1"/>
  <c r="L128" i="1"/>
  <c r="L112" i="1"/>
  <c r="L96" i="1"/>
  <c r="L80" i="1"/>
  <c r="L64" i="1"/>
  <c r="L48" i="1"/>
  <c r="L32" i="1"/>
  <c r="L16" i="1"/>
  <c r="L575" i="1"/>
  <c r="L559" i="1"/>
  <c r="L543" i="1"/>
  <c r="L527" i="1"/>
  <c r="L511" i="1"/>
  <c r="L495" i="1"/>
  <c r="L479" i="1"/>
  <c r="L463" i="1"/>
  <c r="L447" i="1"/>
  <c r="L431" i="1"/>
  <c r="L415" i="1"/>
  <c r="L399" i="1"/>
  <c r="L383" i="1"/>
  <c r="L367" i="1"/>
  <c r="L351" i="1"/>
  <c r="L335" i="1"/>
  <c r="L319" i="1"/>
  <c r="L303" i="1"/>
  <c r="L287" i="1"/>
  <c r="L271" i="1"/>
  <c r="L255" i="1"/>
  <c r="L239" i="1"/>
  <c r="L223" i="1"/>
  <c r="L207" i="1"/>
  <c r="L191" i="1"/>
  <c r="L175" i="1"/>
  <c r="L159" i="1"/>
  <c r="L143" i="1"/>
  <c r="L127" i="1"/>
  <c r="L111" i="1"/>
  <c r="L95" i="1"/>
  <c r="L79" i="1"/>
  <c r="L63" i="1"/>
  <c r="L47" i="1"/>
  <c r="L31" i="1"/>
  <c r="L15" i="1"/>
</calcChain>
</file>

<file path=xl/sharedStrings.xml><?xml version="1.0" encoding="utf-8"?>
<sst xmlns="http://schemas.openxmlformats.org/spreadsheetml/2006/main" count="6386" uniqueCount="2571">
  <si>
    <r>
      <rPr>
        <sz val="9"/>
        <rFont val="Verdana"/>
        <family val="2"/>
      </rPr>
      <t>站名</t>
    </r>
  </si>
  <si>
    <r>
      <rPr>
        <sz val="9"/>
        <rFont val="Verdana"/>
        <family val="2"/>
      </rPr>
      <t>站碼</t>
    </r>
  </si>
  <si>
    <r>
      <t>WGS84</t>
    </r>
    <r>
      <rPr>
        <sz val="9"/>
        <rFont val="Verdana"/>
        <family val="2"/>
      </rPr>
      <t>十分位緯度座標</t>
    </r>
  </si>
  <si>
    <r>
      <t>WGS84</t>
    </r>
    <r>
      <rPr>
        <sz val="9"/>
        <rFont val="Verdana"/>
        <family val="2"/>
      </rPr>
      <t>十分位經度座標</t>
    </r>
  </si>
  <si>
    <r>
      <rPr>
        <sz val="9"/>
        <rFont val="Verdana"/>
        <family val="2"/>
      </rPr>
      <t>高度</t>
    </r>
  </si>
  <si>
    <r>
      <rPr>
        <sz val="9"/>
        <rFont val="Verdana"/>
        <family val="2"/>
      </rPr>
      <t>城市</t>
    </r>
  </si>
  <si>
    <r>
      <rPr>
        <sz val="9"/>
        <rFont val="Verdana"/>
        <family val="2"/>
      </rPr>
      <t>位置</t>
    </r>
  </si>
  <si>
    <r>
      <rPr>
        <sz val="9"/>
        <rFont val="Verdana"/>
        <family val="2"/>
      </rPr>
      <t>備註</t>
    </r>
  </si>
  <si>
    <r>
      <rPr>
        <sz val="9"/>
        <rFont val="Verdana"/>
        <family val="2"/>
      </rPr>
      <t>設站日期</t>
    </r>
  </si>
  <si>
    <r>
      <rPr>
        <sz val="9"/>
        <rFont val="Verdana"/>
        <family val="2"/>
      </rPr>
      <t>山佳</t>
    </r>
  </si>
  <si>
    <t>C0A520</t>
  </si>
  <si>
    <t>48m</t>
  </si>
  <si>
    <r>
      <rPr>
        <sz val="9"/>
        <rFont val="Verdana"/>
        <family val="2"/>
      </rPr>
      <t>新北市</t>
    </r>
  </si>
  <si>
    <r>
      <rPr>
        <sz val="9"/>
        <rFont val="Verdana"/>
        <family val="2"/>
      </rPr>
      <t>樹林區中山路</t>
    </r>
    <r>
      <rPr>
        <sz val="9"/>
        <rFont val="Calibri"/>
        <family val="2"/>
      </rPr>
      <t>3</t>
    </r>
    <r>
      <rPr>
        <sz val="9"/>
        <rFont val="Verdana"/>
        <family val="2"/>
      </rPr>
      <t>段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山佳國民小學校園內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</si>
  <si>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坪林</t>
    </r>
  </si>
  <si>
    <t>C0A530</t>
  </si>
  <si>
    <t>300m</t>
  </si>
  <si>
    <r>
      <rPr>
        <sz val="9"/>
        <rFont val="Verdana"/>
        <family val="2"/>
      </rPr>
      <t>坪林區</t>
    </r>
  </si>
  <si>
    <r>
      <rPr>
        <sz val="9"/>
        <rFont val="Verdana"/>
        <family val="2"/>
      </rPr>
      <t>泰平</t>
    </r>
  </si>
  <si>
    <t>C0A550</t>
  </si>
  <si>
    <t>422m</t>
  </si>
  <si>
    <r>
      <rPr>
        <sz val="9"/>
        <rFont val="Verdana"/>
        <family val="2"/>
      </rPr>
      <t>雙溪區泰平里</t>
    </r>
    <r>
      <rPr>
        <sz val="9"/>
        <rFont val="Calibri"/>
        <family val="2"/>
      </rPr>
      <t>8</t>
    </r>
    <r>
      <rPr>
        <sz val="9"/>
        <rFont val="Verdana"/>
        <family val="2"/>
      </rPr>
      <t>鄰大平路</t>
    </r>
    <r>
      <rPr>
        <sz val="9"/>
        <rFont val="Calibri"/>
        <family val="2"/>
      </rPr>
      <t>43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泰平國小分校附近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</si>
  <si>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桶後</t>
    </r>
  </si>
  <si>
    <t>C0A570</t>
  </si>
  <si>
    <t>360m</t>
  </si>
  <si>
    <r>
      <rPr>
        <sz val="9"/>
        <rFont val="Verdana"/>
        <family val="2"/>
      </rPr>
      <t>烏來區后桶街</t>
    </r>
    <r>
      <rPr>
        <sz val="9"/>
        <rFont val="Calibri"/>
        <family val="2"/>
      </rPr>
      <t>49</t>
    </r>
    <r>
      <rPr>
        <sz val="9"/>
        <rFont val="Verdana"/>
        <family val="2"/>
      </rPr>
      <t>號孝義里</t>
    </r>
    <r>
      <rPr>
        <sz val="9"/>
        <rFont val="Calibri"/>
        <family val="2"/>
      </rPr>
      <t>5-6k</t>
    </r>
    <r>
      <rPr>
        <sz val="9"/>
        <rFont val="Verdana"/>
        <family val="2"/>
      </rPr>
      <t>處路旁</t>
    </r>
  </si>
  <si>
    <r>
      <rPr>
        <sz val="9"/>
        <rFont val="Verdana"/>
        <family val="2"/>
      </rPr>
      <t>石碇</t>
    </r>
  </si>
  <si>
    <t>C0A640</t>
  </si>
  <si>
    <t>241m</t>
  </si>
  <si>
    <r>
      <rPr>
        <sz val="9"/>
        <rFont val="Verdana"/>
        <family val="2"/>
      </rPr>
      <t>石碇區湳窟</t>
    </r>
    <r>
      <rPr>
        <sz val="9"/>
        <rFont val="Calibri"/>
        <family val="2"/>
      </rPr>
      <t>34</t>
    </r>
    <r>
      <rPr>
        <sz val="9"/>
        <rFont val="Verdana"/>
        <family val="2"/>
      </rPr>
      <t>號附近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</si>
  <si>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(C1A640)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(C0A640)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</si>
  <si>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科教館</t>
    </r>
  </si>
  <si>
    <t>C0A770</t>
  </si>
  <si>
    <t>60m</t>
  </si>
  <si>
    <r>
      <rPr>
        <sz val="9"/>
        <rFont val="Verdana"/>
        <family val="2"/>
      </rPr>
      <t>臺北市</t>
    </r>
  </si>
  <si>
    <r>
      <rPr>
        <sz val="9"/>
        <rFont val="Verdana"/>
        <family val="2"/>
      </rPr>
      <t>士林區士商路</t>
    </r>
    <r>
      <rPr>
        <sz val="9"/>
        <rFont val="Calibri"/>
        <family val="2"/>
      </rPr>
      <t>189</t>
    </r>
    <r>
      <rPr>
        <sz val="9"/>
        <rFont val="Verdana"/>
        <family val="2"/>
      </rPr>
      <t>號（士林科教館樓頂）</t>
    </r>
  </si>
  <si>
    <r>
      <rPr>
        <sz val="9"/>
        <rFont val="Verdana"/>
        <family val="2"/>
      </rPr>
      <t>大坪</t>
    </r>
  </si>
  <si>
    <t>C0A860</t>
  </si>
  <si>
    <t>362m</t>
  </si>
  <si>
    <r>
      <rPr>
        <sz val="9"/>
        <rFont val="Verdana"/>
        <family val="2"/>
      </rPr>
      <t>萬里區溪底里香員林</t>
    </r>
    <r>
      <rPr>
        <sz val="9"/>
        <rFont val="Calibri"/>
        <family val="2"/>
      </rPr>
      <t>6-3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</si>
  <si>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五指山</t>
    </r>
  </si>
  <si>
    <t>C0A870</t>
  </si>
  <si>
    <t>685m</t>
  </si>
  <si>
    <r>
      <rPr>
        <sz val="9"/>
        <rFont val="Verdana"/>
        <family val="2"/>
      </rPr>
      <t>汐止區國軍示範公墓旁之復興廣播電台門口外</t>
    </r>
  </si>
  <si>
    <r>
      <rPr>
        <sz val="9"/>
        <rFont val="Verdana"/>
        <family val="2"/>
      </rPr>
      <t>雙溪</t>
    </r>
  </si>
  <si>
    <t>C0A890</t>
  </si>
  <si>
    <t>40m</t>
  </si>
  <si>
    <r>
      <rPr>
        <sz val="9"/>
        <rFont val="Verdana"/>
        <family val="2"/>
      </rPr>
      <t>雙溪區雙溪里社區活動中心旁花圃內</t>
    </r>
  </si>
  <si>
    <r>
      <rPr>
        <sz val="9"/>
        <rFont val="Verdana"/>
        <family val="2"/>
      </rPr>
      <t>三和</t>
    </r>
  </si>
  <si>
    <t>C0A931</t>
  </si>
  <si>
    <t>216m</t>
  </si>
  <si>
    <r>
      <rPr>
        <sz val="9"/>
        <rFont val="Verdana"/>
        <family val="2"/>
      </rPr>
      <t>金山區三和國小兩湖分校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</si>
  <si>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(C0A930)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2014/4/1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(C0A931)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</si>
  <si>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金山</t>
    </r>
  </si>
  <si>
    <t>C0A940</t>
  </si>
  <si>
    <t>49m</t>
  </si>
  <si>
    <r>
      <rPr>
        <sz val="9"/>
        <rFont val="Verdana"/>
        <family val="2"/>
      </rPr>
      <t>金山區中興段</t>
    </r>
    <r>
      <rPr>
        <sz val="9"/>
        <rFont val="Calibri"/>
        <family val="2"/>
      </rPr>
      <t>404</t>
    </r>
    <r>
      <rPr>
        <sz val="9"/>
        <rFont val="Verdana"/>
        <family val="2"/>
      </rPr>
      <t>地號</t>
    </r>
    <r>
      <rPr>
        <sz val="9"/>
        <rFont val="Calibri"/>
        <family val="2"/>
      </rPr>
      <t>(</t>
    </r>
    <r>
      <rPr>
        <sz val="9"/>
        <rFont val="Verdana"/>
        <family val="2"/>
      </rPr>
      <t>磺港社區活動中心內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</si>
  <si>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鼻頭角</t>
    </r>
  </si>
  <si>
    <t>C0A950</t>
  </si>
  <si>
    <r>
      <rPr>
        <sz val="9"/>
        <rFont val="Verdana"/>
        <family val="2"/>
      </rPr>
      <t>瑞芳區鼻頭角燈塔旁</t>
    </r>
  </si>
  <si>
    <r>
      <rPr>
        <sz val="9"/>
        <rFont val="Verdana"/>
        <family val="2"/>
      </rPr>
      <t>三貂角</t>
    </r>
  </si>
  <si>
    <t>C0A970</t>
  </si>
  <si>
    <t>96m</t>
  </si>
  <si>
    <r>
      <rPr>
        <sz val="9"/>
        <rFont val="Verdana"/>
        <family val="2"/>
      </rPr>
      <t>貢寮區三貂角燈塔旁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</si>
  <si>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2017/10/23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</si>
  <si>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社子</t>
    </r>
  </si>
  <si>
    <t>C0A980</t>
  </si>
  <si>
    <t>11m</t>
  </si>
  <si>
    <r>
      <rPr>
        <sz val="9"/>
        <rFont val="Verdana"/>
        <family val="2"/>
      </rPr>
      <t>士林區延平北路九段</t>
    </r>
    <r>
      <rPr>
        <sz val="9"/>
        <rFont val="Calibri"/>
        <family val="2"/>
      </rPr>
      <t>212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臺北海洋科技大學內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</si>
  <si>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天母</t>
    </r>
  </si>
  <si>
    <t>C0A9C0</t>
  </si>
  <si>
    <t>35m</t>
  </si>
  <si>
    <r>
      <rPr>
        <sz val="9"/>
        <rFont val="Verdana"/>
        <family val="2"/>
      </rPr>
      <t>士林區天母東路</t>
    </r>
    <r>
      <rPr>
        <sz val="9"/>
        <rFont val="Calibri"/>
        <family val="2"/>
      </rPr>
      <t>116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三玉國小內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</si>
  <si>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內湖</t>
    </r>
  </si>
  <si>
    <t>C0A9F0</t>
  </si>
  <si>
    <r>
      <rPr>
        <sz val="9"/>
        <rFont val="Verdana"/>
        <family val="2"/>
      </rPr>
      <t>內湖區內湖路一段</t>
    </r>
    <r>
      <rPr>
        <sz val="9"/>
        <rFont val="Calibri"/>
        <family val="2"/>
      </rPr>
      <t>520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內湖高工內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</si>
  <si>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大屯山</t>
    </r>
  </si>
  <si>
    <t>C0AC40</t>
  </si>
  <si>
    <t>1079m</t>
  </si>
  <si>
    <r>
      <rPr>
        <sz val="9"/>
        <rFont val="Verdana"/>
        <family val="2"/>
      </rPr>
      <t>北投區湖田段</t>
    </r>
    <r>
      <rPr>
        <sz val="9"/>
        <rFont val="Calibri"/>
        <family val="2"/>
      </rPr>
      <t>461-6</t>
    </r>
    <r>
      <rPr>
        <sz val="9"/>
        <rFont val="Verdana"/>
        <family val="2"/>
      </rPr>
      <t>地號</t>
    </r>
    <r>
      <rPr>
        <sz val="9"/>
        <rFont val="Calibri"/>
        <family val="2"/>
      </rPr>
      <t>(</t>
    </r>
    <r>
      <rPr>
        <sz val="9"/>
        <rFont val="Verdana"/>
        <family val="2"/>
      </rPr>
      <t>民航局大屯山助航臺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</si>
  <si>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三峽</t>
    </r>
  </si>
  <si>
    <t>C0AC60</t>
  </si>
  <si>
    <t>55m</t>
  </si>
  <si>
    <r>
      <rPr>
        <sz val="9"/>
        <rFont val="Verdana"/>
        <family val="2"/>
      </rPr>
      <t>三峽區復興路</t>
    </r>
    <r>
      <rPr>
        <sz val="9"/>
        <rFont val="Calibri"/>
        <family val="2"/>
      </rPr>
      <t>238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三峽國中校園內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</si>
  <si>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信義</t>
    </r>
  </si>
  <si>
    <t>C0AC70</t>
  </si>
  <si>
    <t>71m</t>
  </si>
  <si>
    <r>
      <rPr>
        <sz val="9"/>
        <rFont val="Verdana"/>
        <family val="2"/>
      </rPr>
      <t>信義區市府路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台北市政府頂樓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</si>
  <si>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文山</t>
    </r>
  </si>
  <si>
    <t>C0AC80</t>
  </si>
  <si>
    <r>
      <rPr>
        <sz val="9"/>
        <rFont val="Verdana"/>
        <family val="2"/>
      </rPr>
      <t>文山區木柵路</t>
    </r>
    <r>
      <rPr>
        <sz val="9"/>
        <rFont val="Calibri"/>
        <family val="2"/>
      </rPr>
      <t>4</t>
    </r>
    <r>
      <rPr>
        <sz val="9"/>
        <rFont val="Verdana"/>
        <family val="2"/>
      </rPr>
      <t>段</t>
    </r>
    <r>
      <rPr>
        <sz val="9"/>
        <rFont val="Calibri"/>
        <family val="2"/>
      </rPr>
      <t>159</t>
    </r>
    <r>
      <rPr>
        <sz val="9"/>
        <rFont val="Verdana"/>
        <family val="2"/>
      </rPr>
      <t>巷</t>
    </r>
    <r>
      <rPr>
        <sz val="9"/>
        <rFont val="Calibri"/>
        <family val="2"/>
      </rPr>
      <t>14-1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博嘉國小校園內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</si>
  <si>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(C1AC80)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(C0AC80)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</si>
  <si>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新莊</t>
    </r>
  </si>
  <si>
    <t>C0ACA0</t>
  </si>
  <si>
    <t>25m</t>
  </si>
  <si>
    <r>
      <rPr>
        <sz val="9"/>
        <rFont val="Verdana"/>
        <family val="2"/>
      </rPr>
      <t>新莊區中和街</t>
    </r>
    <r>
      <rPr>
        <sz val="9"/>
        <rFont val="Calibri"/>
        <family val="2"/>
      </rPr>
      <t>193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榮富國小校園內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</si>
  <si>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(C1ACA0)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(C0ACA0)</t>
    </r>
    <r>
      <rPr>
        <sz val="9"/>
        <rFont val="Verdana"/>
        <family val="2"/>
      </rPr>
      <t>站，站址搬遷至同校行政大樓西側。</t>
    </r>
  </si>
  <si>
    <r>
      <rPr>
        <sz val="9"/>
        <rFont val="Verdana"/>
        <family val="2"/>
      </rPr>
      <t>八里</t>
    </r>
  </si>
  <si>
    <t>C0AD10</t>
  </si>
  <si>
    <t>27m</t>
  </si>
  <si>
    <r>
      <rPr>
        <sz val="9"/>
        <rFont val="Verdana"/>
        <family val="2"/>
      </rPr>
      <t>八里區中山路二段</t>
    </r>
    <r>
      <rPr>
        <sz val="9"/>
        <rFont val="Calibri"/>
        <family val="2"/>
      </rPr>
      <t>338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八里國小內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</si>
  <si>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蘆洲</t>
    </r>
  </si>
  <si>
    <t>C0AD30</t>
  </si>
  <si>
    <t>20m</t>
  </si>
  <si>
    <r>
      <rPr>
        <sz val="9"/>
        <rFont val="Verdana"/>
        <family val="2"/>
      </rPr>
      <t>蘆洲區三民路</t>
    </r>
    <r>
      <rPr>
        <sz val="9"/>
        <rFont val="Calibri"/>
        <family val="2"/>
      </rPr>
      <t>96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三民高中內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</si>
  <si>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土城</t>
    </r>
  </si>
  <si>
    <t>C0AD40</t>
  </si>
  <si>
    <t>32m</t>
  </si>
  <si>
    <r>
      <rPr>
        <sz val="9"/>
        <rFont val="Verdana"/>
        <family val="2"/>
      </rPr>
      <t>土城區金城路一段</t>
    </r>
    <r>
      <rPr>
        <sz val="9"/>
        <rFont val="Calibri"/>
        <family val="2"/>
      </rPr>
      <t>90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新北市政府消防局土城分隊大樓樓頂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</si>
  <si>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鶯歌</t>
    </r>
  </si>
  <si>
    <t>C0AD50</t>
  </si>
  <si>
    <t>84m</t>
  </si>
  <si>
    <r>
      <rPr>
        <sz val="9"/>
        <rFont val="Verdana"/>
        <family val="2"/>
      </rPr>
      <t>鶯歌區尖山埔路</t>
    </r>
    <r>
      <rPr>
        <sz val="9"/>
        <rFont val="Calibri"/>
        <family val="2"/>
      </rPr>
      <t>106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鶯歌國小內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</si>
  <si>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中和</t>
    </r>
  </si>
  <si>
    <t>C0AG80</t>
  </si>
  <si>
    <r>
      <rPr>
        <sz val="9"/>
        <rFont val="Verdana"/>
        <family val="2"/>
      </rPr>
      <t>中和區錦和路</t>
    </r>
    <r>
      <rPr>
        <sz val="9"/>
        <rFont val="Calibri"/>
        <family val="2"/>
      </rPr>
      <t>163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錦和高中內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</si>
  <si>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汐止</t>
    </r>
  </si>
  <si>
    <t>C0AH00</t>
  </si>
  <si>
    <t>38m</t>
  </si>
  <si>
    <r>
      <rPr>
        <sz val="9"/>
        <rFont val="Verdana"/>
        <family val="2"/>
      </rPr>
      <t>汐止區大同路二段</t>
    </r>
    <r>
      <rPr>
        <sz val="9"/>
        <rFont val="Calibri"/>
        <family val="2"/>
      </rPr>
      <t>394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汐止國中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</si>
  <si>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永和</t>
    </r>
  </si>
  <si>
    <t>C0AH10</t>
  </si>
  <si>
    <t>30m</t>
  </si>
  <si>
    <r>
      <rPr>
        <sz val="9"/>
        <rFont val="Verdana"/>
        <family val="2"/>
      </rPr>
      <t>永和區永平路</t>
    </r>
    <r>
      <rPr>
        <sz val="9"/>
        <rFont val="Calibri"/>
        <family val="2"/>
      </rPr>
      <t>205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永平高中校園內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</si>
  <si>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五分山</t>
    </r>
  </si>
  <si>
    <t>C0AH30</t>
  </si>
  <si>
    <t>755m</t>
  </si>
  <si>
    <r>
      <rPr>
        <sz val="9"/>
        <rFont val="Verdana"/>
        <family val="2"/>
      </rPr>
      <t>瑞芳區靜安路四段</t>
    </r>
    <r>
      <rPr>
        <sz val="9"/>
        <rFont val="Calibri"/>
        <family val="2"/>
      </rPr>
      <t>1</t>
    </r>
    <r>
      <rPr>
        <sz val="9"/>
        <rFont val="Verdana"/>
        <family val="2"/>
      </rPr>
      <t>巷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</si>
  <si>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平等</t>
    </r>
  </si>
  <si>
    <t>C0AH40</t>
  </si>
  <si>
    <t>426m</t>
  </si>
  <si>
    <r>
      <rPr>
        <sz val="9"/>
        <rFont val="Verdana"/>
        <family val="2"/>
      </rPr>
      <t>士林區平菁街</t>
    </r>
    <r>
      <rPr>
        <sz val="9"/>
        <rFont val="Calibri"/>
        <family val="2"/>
      </rPr>
      <t>101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平等國小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</si>
  <si>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林口</t>
    </r>
  </si>
  <si>
    <t>C0AH50</t>
  </si>
  <si>
    <t>275m</t>
  </si>
  <si>
    <r>
      <rPr>
        <sz val="9"/>
        <rFont val="Verdana"/>
        <family val="2"/>
      </rPr>
      <t>林口區仁愛路二段</t>
    </r>
    <r>
      <rPr>
        <sz val="9"/>
        <rFont val="Calibri"/>
        <family val="2"/>
      </rPr>
      <t>173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林口高中內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</si>
  <si>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松山</t>
    </r>
  </si>
  <si>
    <t>C0AH70</t>
  </si>
  <si>
    <t>34m</t>
  </si>
  <si>
    <r>
      <rPr>
        <sz val="9"/>
        <rFont val="Verdana"/>
        <family val="2"/>
      </rPr>
      <t>松山區敦化北路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臺北市松山運動中心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</si>
  <si>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因雨量筒較晚驗收完成，</t>
    </r>
    <r>
      <rPr>
        <sz val="9"/>
        <rFont val="Calibri"/>
        <family val="2"/>
      </rPr>
      <t>2017/04/26</t>
    </r>
    <r>
      <rPr>
        <sz val="9"/>
        <rFont val="Verdana"/>
        <family val="2"/>
      </rPr>
      <t>至</t>
    </r>
    <r>
      <rPr>
        <sz val="9"/>
        <rFont val="Calibri"/>
        <family val="2"/>
      </rPr>
      <t>2017/08/17</t>
    </r>
    <r>
      <rPr>
        <sz val="9"/>
        <rFont val="Verdana"/>
        <family val="2"/>
      </rPr>
      <t>不提供雨量資料。</t>
    </r>
  </si>
  <si>
    <r>
      <rPr>
        <sz val="9"/>
        <rFont val="Verdana"/>
        <family val="2"/>
      </rPr>
      <t>深坑</t>
    </r>
  </si>
  <si>
    <t>C0AH80</t>
  </si>
  <si>
    <t>68m</t>
  </si>
  <si>
    <r>
      <rPr>
        <sz val="9"/>
        <rFont val="Verdana"/>
        <family val="2"/>
      </rPr>
      <t>深坑區文山路</t>
    </r>
    <r>
      <rPr>
        <sz val="9"/>
        <rFont val="Calibri"/>
        <family val="2"/>
      </rPr>
      <t>1</t>
    </r>
    <r>
      <rPr>
        <sz val="9"/>
        <rFont val="Verdana"/>
        <family val="2"/>
      </rPr>
      <t>段</t>
    </r>
    <r>
      <rPr>
        <sz val="9"/>
        <rFont val="Calibri"/>
        <family val="2"/>
      </rPr>
      <t>35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深坑消防分隊樓頂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</si>
  <si>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福山植物園</t>
    </r>
  </si>
  <si>
    <t>C0AH90</t>
  </si>
  <si>
    <t>660m</t>
  </si>
  <si>
    <r>
      <rPr>
        <sz val="9"/>
        <rFont val="Verdana"/>
        <family val="2"/>
      </rPr>
      <t>烏來區福山植物園內</t>
    </r>
    <r>
      <rPr>
        <sz val="9"/>
        <rFont val="Calibri"/>
        <family val="2"/>
      </rPr>
      <t>(</t>
    </r>
    <r>
      <rPr>
        <sz val="9"/>
        <rFont val="Verdana"/>
        <family val="2"/>
      </rPr>
      <t>生活植物區之民俗植物區觀測坪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</si>
  <si>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五股</t>
    </r>
  </si>
  <si>
    <t>C0AI00</t>
  </si>
  <si>
    <t>188m</t>
  </si>
  <si>
    <r>
      <rPr>
        <sz val="9"/>
        <rFont val="Verdana"/>
        <family val="2"/>
      </rPr>
      <t>五股區外寮路</t>
    </r>
    <r>
      <rPr>
        <sz val="9"/>
        <rFont val="Calibri"/>
        <family val="2"/>
      </rPr>
      <t>12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</si>
  <si>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屈尺</t>
    </r>
  </si>
  <si>
    <t>C0AI10</t>
  </si>
  <si>
    <t>76m</t>
  </si>
  <si>
    <r>
      <rPr>
        <sz val="9"/>
        <rFont val="Verdana"/>
        <family val="2"/>
      </rPr>
      <t>新店區屈尺路</t>
    </r>
    <r>
      <rPr>
        <sz val="9"/>
        <rFont val="Calibri"/>
        <family val="2"/>
      </rPr>
      <t>83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衛福部北區老人之家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</si>
  <si>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白沙灣</t>
    </r>
  </si>
  <si>
    <t>C0AI20</t>
  </si>
  <si>
    <r>
      <rPr>
        <sz val="9"/>
        <rFont val="Verdana"/>
        <family val="2"/>
      </rPr>
      <t>石門區德茂里下員坑</t>
    </r>
    <r>
      <rPr>
        <sz val="9"/>
        <rFont val="Calibri"/>
        <family val="2"/>
      </rPr>
      <t>33-6</t>
    </r>
    <r>
      <rPr>
        <sz val="9"/>
        <rFont val="Verdana"/>
        <family val="2"/>
      </rPr>
      <t>號（白沙灣遊客中心樓頂）</t>
    </r>
  </si>
  <si>
    <r>
      <rPr>
        <sz val="9"/>
        <rFont val="Verdana"/>
        <family val="2"/>
      </rPr>
      <t>三重</t>
    </r>
  </si>
  <si>
    <t>C0AI30</t>
  </si>
  <si>
    <t>26m</t>
  </si>
  <si>
    <r>
      <rPr>
        <sz val="9"/>
        <rFont val="Verdana"/>
        <family val="2"/>
      </rPr>
      <t>三重區環河南路</t>
    </r>
    <r>
      <rPr>
        <sz val="9"/>
        <rFont val="Calibri"/>
        <family val="2"/>
      </rPr>
      <t>100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</si>
  <si>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(C0A9I1)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2019/8/2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(C0AI30)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</si>
  <si>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石牌</t>
    </r>
  </si>
  <si>
    <t>C0AI40</t>
  </si>
  <si>
    <r>
      <rPr>
        <sz val="9"/>
        <rFont val="Verdana"/>
        <family val="2"/>
      </rPr>
      <t>北投區石牌路一段</t>
    </r>
    <r>
      <rPr>
        <sz val="9"/>
        <rFont val="Calibri"/>
        <family val="2"/>
      </rPr>
      <t>139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石牌國中自強樓頂樓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</si>
  <si>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(C0A9B0)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2019/9/10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(C0AI40)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</si>
  <si>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野柳</t>
    </r>
  </si>
  <si>
    <t>C0AJ20</t>
  </si>
  <si>
    <t>50m</t>
  </si>
  <si>
    <r>
      <rPr>
        <sz val="9"/>
        <rFont val="Verdana"/>
        <family val="2"/>
      </rPr>
      <t>萬里區野柳村</t>
    </r>
    <r>
      <rPr>
        <sz val="9"/>
        <rFont val="Calibri"/>
        <family val="2"/>
      </rPr>
      <t>151-1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野柳守望哨雷達塔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</si>
  <si>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淡水觀海</t>
    </r>
  </si>
  <si>
    <t>C0AJ30</t>
  </si>
  <si>
    <t>22m</t>
  </si>
  <si>
    <r>
      <rPr>
        <sz val="9"/>
        <rFont val="Verdana"/>
        <family val="2"/>
      </rPr>
      <t>淡水區觀海路</t>
    </r>
    <r>
      <rPr>
        <sz val="9"/>
        <rFont val="Calibri"/>
        <family val="2"/>
      </rPr>
      <t>251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淡水第</t>
    </r>
    <r>
      <rPr>
        <sz val="9"/>
        <rFont val="Calibri"/>
        <family val="2"/>
      </rPr>
      <t>2</t>
    </r>
    <r>
      <rPr>
        <sz val="9"/>
        <rFont val="Verdana"/>
        <family val="2"/>
      </rPr>
      <t>海巡隊樓頂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</si>
  <si>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石門</t>
    </r>
  </si>
  <si>
    <t>C0AJ40</t>
  </si>
  <si>
    <t>154m</t>
  </si>
  <si>
    <r>
      <rPr>
        <sz val="9"/>
        <rFont val="Verdana"/>
        <family val="2"/>
      </rPr>
      <t>石門區草里里草埔尾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黃金海岸高爾夫球場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</si>
  <si>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水湳洞</t>
    </r>
  </si>
  <si>
    <t>C0AJ50</t>
  </si>
  <si>
    <r>
      <rPr>
        <sz val="9"/>
        <rFont val="Verdana"/>
        <family val="2"/>
      </rPr>
      <t>瑞芳區水湳洞段</t>
    </r>
    <r>
      <rPr>
        <sz val="9"/>
        <rFont val="Calibri"/>
        <family val="2"/>
      </rPr>
      <t>00197-000</t>
    </r>
    <r>
      <rPr>
        <sz val="9"/>
        <rFont val="Verdana"/>
        <family val="2"/>
      </rPr>
      <t>建號</t>
    </r>
    <r>
      <rPr>
        <sz val="9"/>
        <rFont val="Calibri"/>
        <family val="2"/>
      </rPr>
      <t>(</t>
    </r>
    <r>
      <rPr>
        <sz val="9"/>
        <rFont val="Verdana"/>
        <family val="2"/>
      </rPr>
      <t>水湳洞犬區隊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</si>
  <si>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六塊厝</t>
    </r>
  </si>
  <si>
    <t>C0AJ60</t>
  </si>
  <si>
    <t>13m</t>
  </si>
  <si>
    <r>
      <rPr>
        <sz val="9"/>
        <rFont val="Verdana"/>
        <family val="2"/>
      </rPr>
      <t>淡水區</t>
    </r>
  </si>
  <si>
    <r>
      <rPr>
        <sz val="9"/>
        <rFont val="Verdana"/>
        <family val="2"/>
      </rPr>
      <t>田寮</t>
    </r>
  </si>
  <si>
    <t>C0AJ70</t>
  </si>
  <si>
    <t>21m</t>
  </si>
  <si>
    <r>
      <rPr>
        <sz val="9"/>
        <rFont val="Verdana"/>
        <family val="2"/>
      </rPr>
      <t>三芝區古庄里</t>
    </r>
    <r>
      <rPr>
        <sz val="9"/>
        <rFont val="Calibri"/>
        <family val="2"/>
      </rPr>
      <t>83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</si>
  <si>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板橋</t>
    </r>
  </si>
  <si>
    <t>C0AJ80</t>
  </si>
  <si>
    <r>
      <rPr>
        <sz val="9"/>
        <rFont val="Verdana"/>
        <family val="2"/>
      </rPr>
      <t>板橋區僑中一街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</si>
  <si>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配合板橋有人站遷移，</t>
    </r>
    <r>
      <rPr>
        <sz val="9"/>
        <rFont val="Calibri"/>
        <family val="2"/>
      </rPr>
      <t>2023/01/03</t>
    </r>
    <r>
      <rPr>
        <sz val="9"/>
        <rFont val="Verdana"/>
        <family val="2"/>
      </rPr>
      <t>上午</t>
    </r>
    <r>
      <rPr>
        <sz val="9"/>
        <rFont val="Calibri"/>
        <family val="2"/>
      </rPr>
      <t>11</t>
    </r>
    <r>
      <rPr>
        <sz val="9"/>
        <rFont val="Verdana"/>
        <family val="2"/>
      </rPr>
      <t>時開始自動觀測。</t>
    </r>
  </si>
  <si>
    <r>
      <rPr>
        <sz val="9"/>
        <rFont val="Verdana"/>
        <family val="2"/>
      </rPr>
      <t>澳底</t>
    </r>
  </si>
  <si>
    <t>C0AJ90</t>
  </si>
  <si>
    <t>23m</t>
  </si>
  <si>
    <r>
      <rPr>
        <sz val="9"/>
        <rFont val="Verdana"/>
        <family val="2"/>
      </rPr>
      <t>貢寮區真理里延平街</t>
    </r>
    <r>
      <rPr>
        <sz val="9"/>
        <rFont val="Calibri"/>
        <family val="2"/>
      </rPr>
      <t>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澳底國小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</si>
  <si>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(C0AJ10)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2023/06/16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(C0AJ90)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</si>
  <si>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太平里</t>
    </r>
  </si>
  <si>
    <t>C0AK10</t>
  </si>
  <si>
    <t>18m</t>
  </si>
  <si>
    <r>
      <rPr>
        <sz val="9"/>
        <rFont val="Verdana"/>
        <family val="2"/>
      </rPr>
      <t>林口區太平里汕頭</t>
    </r>
    <r>
      <rPr>
        <sz val="9"/>
        <rFont val="Calibri"/>
        <family val="2"/>
      </rPr>
      <t>32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</si>
  <si>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硬漢嶺</t>
    </r>
  </si>
  <si>
    <t>C0AK30</t>
  </si>
  <si>
    <t>607m</t>
  </si>
  <si>
    <r>
      <rPr>
        <sz val="9"/>
        <rFont val="Verdana"/>
        <family val="2"/>
      </rPr>
      <t>觀音山硬漢嶺前奉茶基地上方平台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</si>
  <si>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(CAAH70)</t>
    </r>
    <r>
      <rPr>
        <sz val="9"/>
        <rFont val="Verdana"/>
        <family val="2"/>
      </rPr>
      <t>合作站於</t>
    </r>
    <r>
      <rPr>
        <sz val="9"/>
        <rFont val="Calibri"/>
        <family val="2"/>
      </rPr>
      <t>2025/04/07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(C0AK30)</t>
    </r>
    <r>
      <rPr>
        <sz val="9"/>
        <rFont val="Verdana"/>
        <family val="2"/>
      </rPr>
      <t>自動氣象站。</t>
    </r>
  </si>
  <si>
    <r>
      <rPr>
        <sz val="9"/>
        <rFont val="Verdana"/>
        <family val="2"/>
      </rPr>
      <t>七堵</t>
    </r>
  </si>
  <si>
    <t>C0B010</t>
  </si>
  <si>
    <r>
      <rPr>
        <sz val="9"/>
        <rFont val="Verdana"/>
        <family val="2"/>
      </rPr>
      <t>基隆市</t>
    </r>
  </si>
  <si>
    <r>
      <rPr>
        <sz val="9"/>
        <rFont val="Verdana"/>
        <family val="2"/>
      </rPr>
      <t>七堵區東新街</t>
    </r>
    <r>
      <rPr>
        <sz val="9"/>
        <rFont val="Calibri"/>
        <family val="2"/>
      </rPr>
      <t>22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基隆商工樓頂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</si>
  <si>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基隆嶼</t>
    </r>
  </si>
  <si>
    <t>C0B020</t>
  </si>
  <si>
    <t>86m</t>
  </si>
  <si>
    <r>
      <rPr>
        <sz val="9"/>
        <rFont val="Verdana"/>
        <family val="2"/>
      </rPr>
      <t>中正區基隆嶼</t>
    </r>
  </si>
  <si>
    <r>
      <rPr>
        <sz val="9"/>
        <rFont val="Verdana"/>
        <family val="2"/>
      </rPr>
      <t>大武崙</t>
    </r>
  </si>
  <si>
    <t>C0B040</t>
  </si>
  <si>
    <t>15m</t>
  </si>
  <si>
    <r>
      <rPr>
        <sz val="9"/>
        <rFont val="Verdana"/>
        <family val="2"/>
      </rPr>
      <t>安樂區武聖街</t>
    </r>
    <r>
      <rPr>
        <sz val="9"/>
        <rFont val="Calibri"/>
        <family val="2"/>
      </rPr>
      <t>144</t>
    </r>
    <r>
      <rPr>
        <sz val="9"/>
        <rFont val="Verdana"/>
        <family val="2"/>
      </rPr>
      <t>弄</t>
    </r>
    <r>
      <rPr>
        <sz val="9"/>
        <rFont val="Calibri"/>
        <family val="2"/>
      </rPr>
      <t>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大武崙安檢所樓頂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</si>
  <si>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八斗子</t>
    </r>
  </si>
  <si>
    <t>C0B050</t>
  </si>
  <si>
    <t>5m</t>
  </si>
  <si>
    <r>
      <rPr>
        <sz val="9"/>
        <rFont val="Verdana"/>
        <family val="2"/>
      </rPr>
      <t>中正區漁港</t>
    </r>
    <r>
      <rPr>
        <sz val="9"/>
        <rFont val="Calibri"/>
        <family val="2"/>
      </rPr>
      <t>1</t>
    </r>
    <r>
      <rPr>
        <sz val="9"/>
        <rFont val="Verdana"/>
        <family val="2"/>
      </rPr>
      <t>街</t>
    </r>
    <r>
      <rPr>
        <sz val="9"/>
        <rFont val="Calibri"/>
        <family val="2"/>
      </rPr>
      <t>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八斗子安檢所樓頂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</si>
  <si>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暖暖</t>
    </r>
  </si>
  <si>
    <t>C0B060</t>
  </si>
  <si>
    <t>83m</t>
  </si>
  <si>
    <r>
      <rPr>
        <sz val="9"/>
        <rFont val="Verdana"/>
        <family val="2"/>
      </rPr>
      <t>暖暖區東碇路</t>
    </r>
    <r>
      <rPr>
        <sz val="9"/>
        <rFont val="Calibri"/>
        <family val="2"/>
      </rPr>
      <t>15</t>
    </r>
    <r>
      <rPr>
        <sz val="9"/>
        <rFont val="Verdana"/>
        <family val="2"/>
      </rPr>
      <t>號（暖暖運動公園內）</t>
    </r>
  </si>
  <si>
    <r>
      <rPr>
        <sz val="9"/>
        <rFont val="Verdana"/>
        <family val="2"/>
      </rPr>
      <t>復興</t>
    </r>
  </si>
  <si>
    <t>C0C460</t>
  </si>
  <si>
    <t>482m</t>
  </si>
  <si>
    <r>
      <rPr>
        <sz val="9"/>
        <rFont val="Verdana"/>
        <family val="2"/>
      </rPr>
      <t>桃園市</t>
    </r>
  </si>
  <si>
    <r>
      <rPr>
        <sz val="9"/>
        <rFont val="Verdana"/>
        <family val="2"/>
      </rPr>
      <t>復興區澤仁里中正路</t>
    </r>
    <r>
      <rPr>
        <sz val="9"/>
        <rFont val="Calibri"/>
        <family val="2"/>
      </rPr>
      <t>248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介壽國民中學校園內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</si>
  <si>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(C1C460)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2007/10/1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(C0C460)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</si>
  <si>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桃園</t>
    </r>
  </si>
  <si>
    <t>C0C480</t>
  </si>
  <si>
    <t>105m</t>
  </si>
  <si>
    <r>
      <rPr>
        <sz val="9"/>
        <rFont val="Verdana"/>
        <family val="2"/>
      </rPr>
      <t>桃園區成功路二段</t>
    </r>
    <r>
      <rPr>
        <sz val="9"/>
        <rFont val="Calibri"/>
        <family val="2"/>
      </rPr>
      <t>144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桃園高級農工職業學校校園內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</si>
  <si>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(C1C480)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(C0C480)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</si>
  <si>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八德</t>
    </r>
  </si>
  <si>
    <t>C0C490</t>
  </si>
  <si>
    <t>157m</t>
  </si>
  <si>
    <r>
      <rPr>
        <sz val="9"/>
        <rFont val="Verdana"/>
        <family val="2"/>
      </rPr>
      <t>八德區興仁里中山路</t>
    </r>
    <r>
      <rPr>
        <sz val="9"/>
        <rFont val="Calibri"/>
        <family val="2"/>
      </rPr>
      <t>94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八德國民小學校園內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</si>
  <si>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(C1C490)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(C0C490)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</si>
  <si>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觀音</t>
    </r>
  </si>
  <si>
    <t>C0C590</t>
  </si>
  <si>
    <t>72m</t>
  </si>
  <si>
    <r>
      <rPr>
        <sz val="9"/>
        <rFont val="Verdana"/>
        <family val="2"/>
      </rPr>
      <t>觀音區廣福里</t>
    </r>
    <r>
      <rPr>
        <sz val="9"/>
        <rFont val="Calibri"/>
        <family val="2"/>
      </rPr>
      <t>10-42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逸福農場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</si>
  <si>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蘆竹</t>
    </r>
  </si>
  <si>
    <t>C0C620</t>
  </si>
  <si>
    <t>19m</t>
  </si>
  <si>
    <r>
      <rPr>
        <sz val="9"/>
        <rFont val="Verdana"/>
        <family val="2"/>
      </rPr>
      <t>蘆竹區坑口里</t>
    </r>
    <r>
      <rPr>
        <sz val="9"/>
        <rFont val="Calibri"/>
        <family val="2"/>
      </rPr>
      <t>14</t>
    </r>
    <r>
      <rPr>
        <sz val="9"/>
        <rFont val="Verdana"/>
        <family val="2"/>
      </rPr>
      <t>鄰旁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</si>
  <si>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(C1C620)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(C0C620)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</si>
  <si>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大溪</t>
    </r>
  </si>
  <si>
    <t>C0C630</t>
  </si>
  <si>
    <t>209m</t>
  </si>
  <si>
    <r>
      <rPr>
        <sz val="9"/>
        <rFont val="Verdana"/>
        <family val="2"/>
      </rPr>
      <t>大溪區員林路</t>
    </r>
    <r>
      <rPr>
        <sz val="9"/>
        <rFont val="Calibri"/>
        <family val="2"/>
      </rPr>
      <t>2</t>
    </r>
    <r>
      <rPr>
        <sz val="9"/>
        <rFont val="Verdana"/>
        <family val="2"/>
      </rPr>
      <t>段</t>
    </r>
    <r>
      <rPr>
        <sz val="9"/>
        <rFont val="Calibri"/>
        <family val="2"/>
      </rPr>
      <t>450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員樹林國小校園內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</si>
  <si>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平鎮</t>
    </r>
  </si>
  <si>
    <t>C0C650</t>
  </si>
  <si>
    <t>208m</t>
  </si>
  <si>
    <r>
      <rPr>
        <sz val="9"/>
        <rFont val="Verdana"/>
        <family val="2"/>
      </rPr>
      <t>平鎮區中豐路山頂段</t>
    </r>
    <r>
      <rPr>
        <sz val="9"/>
        <rFont val="Calibri"/>
        <family val="2"/>
      </rPr>
      <t>375</t>
    </r>
    <r>
      <rPr>
        <sz val="9"/>
        <rFont val="Verdana"/>
        <family val="2"/>
      </rPr>
      <t>巷</t>
    </r>
    <r>
      <rPr>
        <sz val="9"/>
        <rFont val="Calibri"/>
        <family val="2"/>
      </rPr>
      <t>45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山豐國民小學校園內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</si>
  <si>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楊梅</t>
    </r>
  </si>
  <si>
    <t>C0C660</t>
  </si>
  <si>
    <t>176m</t>
  </si>
  <si>
    <r>
      <rPr>
        <sz val="9"/>
        <rFont val="Verdana"/>
        <family val="2"/>
      </rPr>
      <t>楊梅區金華街</t>
    </r>
    <r>
      <rPr>
        <sz val="9"/>
        <rFont val="Calibri"/>
        <family val="2"/>
      </rPr>
      <t>100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楊心國小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</si>
  <si>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龍潭</t>
    </r>
  </si>
  <si>
    <t>C0C670</t>
  </si>
  <si>
    <t>250m</t>
  </si>
  <si>
    <r>
      <rPr>
        <sz val="9"/>
        <rFont val="Verdana"/>
        <family val="2"/>
      </rPr>
      <t>龍潭區中興路</t>
    </r>
    <r>
      <rPr>
        <sz val="9"/>
        <rFont val="Calibri"/>
        <family val="2"/>
      </rPr>
      <t>726</t>
    </r>
    <r>
      <rPr>
        <sz val="9"/>
        <rFont val="Verdana"/>
        <family val="2"/>
      </rPr>
      <t>號（龍潭消防分隊）</t>
    </r>
  </si>
  <si>
    <r>
      <rPr>
        <sz val="9"/>
        <rFont val="Verdana"/>
        <family val="2"/>
      </rPr>
      <t>龜山</t>
    </r>
  </si>
  <si>
    <t>C0C680</t>
  </si>
  <si>
    <t>228m</t>
  </si>
  <si>
    <r>
      <rPr>
        <sz val="9"/>
        <rFont val="Verdana"/>
        <family val="2"/>
      </rPr>
      <t>龜山區文化一路</t>
    </r>
    <r>
      <rPr>
        <sz val="9"/>
        <rFont val="Calibri"/>
        <family val="2"/>
      </rPr>
      <t>250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國立體育大學田徑場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</si>
  <si>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中壢</t>
    </r>
  </si>
  <si>
    <t>C0C700</t>
  </si>
  <si>
    <t>151m</t>
  </si>
  <si>
    <r>
      <rPr>
        <sz val="9"/>
        <rFont val="Verdana"/>
        <family val="2"/>
      </rPr>
      <t>中壢區成章四街</t>
    </r>
    <r>
      <rPr>
        <sz val="9"/>
        <rFont val="Calibri"/>
        <family val="2"/>
      </rPr>
      <t>120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內壢高中樓頂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</si>
  <si>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大溪永福</t>
    </r>
  </si>
  <si>
    <t>C0C710</t>
  </si>
  <si>
    <t>143m</t>
  </si>
  <si>
    <r>
      <rPr>
        <sz val="9"/>
        <rFont val="Verdana"/>
        <family val="2"/>
      </rPr>
      <t>大溪區信義路</t>
    </r>
    <r>
      <rPr>
        <sz val="9"/>
        <rFont val="Calibri"/>
        <family val="2"/>
      </rPr>
      <t>1165</t>
    </r>
    <r>
      <rPr>
        <sz val="9"/>
        <rFont val="Verdana"/>
        <family val="2"/>
      </rPr>
      <t>號（永福國小）</t>
    </r>
  </si>
  <si>
    <r>
      <rPr>
        <sz val="9"/>
        <rFont val="Verdana"/>
        <family val="2"/>
      </rPr>
      <t>竹圍</t>
    </r>
  </si>
  <si>
    <t>C0C720</t>
  </si>
  <si>
    <r>
      <rPr>
        <sz val="9"/>
        <rFont val="Verdana"/>
        <family val="2"/>
      </rPr>
      <t>大園區沙崙段沙崙小號</t>
    </r>
    <r>
      <rPr>
        <sz val="9"/>
        <rFont val="Calibri"/>
        <family val="2"/>
      </rPr>
      <t>00719-000</t>
    </r>
    <r>
      <rPr>
        <sz val="9"/>
        <rFont val="Verdana"/>
        <family val="2"/>
      </rPr>
      <t>建號</t>
    </r>
    <r>
      <rPr>
        <sz val="9"/>
        <rFont val="Calibri"/>
        <family val="2"/>
      </rPr>
      <t>(</t>
    </r>
    <r>
      <rPr>
        <sz val="9"/>
        <rFont val="Verdana"/>
        <family val="2"/>
      </rPr>
      <t>竹圍第一機動巡邏隊樓頂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</si>
  <si>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中大臨海站</t>
    </r>
  </si>
  <si>
    <t>C0C730</t>
  </si>
  <si>
    <r>
      <rPr>
        <sz val="9"/>
        <rFont val="Verdana"/>
        <family val="2"/>
      </rPr>
      <t>新屋區蚵殼港段深圳小段</t>
    </r>
    <r>
      <rPr>
        <sz val="9"/>
        <rFont val="Calibri"/>
        <family val="2"/>
      </rPr>
      <t>52-41</t>
    </r>
    <r>
      <rPr>
        <sz val="9"/>
        <rFont val="Verdana"/>
        <family val="2"/>
      </rPr>
      <t>號土地</t>
    </r>
    <r>
      <rPr>
        <sz val="9"/>
        <rFont val="Calibri"/>
        <family val="2"/>
      </rPr>
      <t>(</t>
    </r>
    <r>
      <rPr>
        <sz val="9"/>
        <rFont val="Verdana"/>
        <family val="2"/>
      </rPr>
      <t>中央大學臨海工作站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</si>
  <si>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觀音工業區</t>
    </r>
  </si>
  <si>
    <t>C0C740</t>
  </si>
  <si>
    <t>5.3m</t>
  </si>
  <si>
    <r>
      <rPr>
        <sz val="9"/>
        <rFont val="Verdana"/>
        <family val="2"/>
      </rPr>
      <t>觀音區經建七路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觀音工業區汙水處理廠迴流汙泥站機房樓頂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</si>
  <si>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新興坑尾</t>
    </r>
  </si>
  <si>
    <t>C0C750</t>
  </si>
  <si>
    <r>
      <rPr>
        <sz val="9"/>
        <rFont val="Verdana"/>
        <family val="2"/>
      </rPr>
      <t>觀音區文化路石橋段</t>
    </r>
    <r>
      <rPr>
        <sz val="9"/>
        <rFont val="Calibri"/>
        <family val="2"/>
      </rPr>
      <t>453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</si>
  <si>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東眼山</t>
    </r>
  </si>
  <si>
    <t>C0C790</t>
  </si>
  <si>
    <t>858m</t>
  </si>
  <si>
    <r>
      <rPr>
        <sz val="9"/>
        <rFont val="Verdana"/>
        <family val="2"/>
      </rPr>
      <t>復興區東眼山段</t>
    </r>
    <r>
      <rPr>
        <sz val="9"/>
        <rFont val="Calibri"/>
        <family val="2"/>
      </rPr>
      <t>93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</si>
  <si>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四稜</t>
    </r>
  </si>
  <si>
    <t>C0C800</t>
  </si>
  <si>
    <t>1167m</t>
  </si>
  <si>
    <r>
      <rPr>
        <sz val="9"/>
        <rFont val="Verdana"/>
        <family val="2"/>
      </rPr>
      <t>復興區四稜段</t>
    </r>
    <r>
      <rPr>
        <sz val="9"/>
        <rFont val="Calibri"/>
        <family val="2"/>
      </rPr>
      <t>6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</si>
  <si>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梅花</t>
    </r>
  </si>
  <si>
    <t>C0D360</t>
  </si>
  <si>
    <t>523m</t>
  </si>
  <si>
    <r>
      <rPr>
        <sz val="9"/>
        <rFont val="Verdana"/>
        <family val="2"/>
      </rPr>
      <t>新竹縣</t>
    </r>
  </si>
  <si>
    <r>
      <rPr>
        <sz val="9"/>
        <rFont val="Verdana"/>
        <family val="2"/>
      </rPr>
      <t>尖石鄉梅花村</t>
    </r>
    <r>
      <rPr>
        <sz val="9"/>
        <rFont val="Calibri"/>
        <family val="2"/>
      </rPr>
      <t>1</t>
    </r>
    <r>
      <rPr>
        <sz val="9"/>
        <rFont val="Verdana"/>
        <family val="2"/>
      </rPr>
      <t>鄰</t>
    </r>
    <r>
      <rPr>
        <sz val="9"/>
        <rFont val="Calibri"/>
        <family val="2"/>
      </rPr>
      <t>11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梅花國小校園內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</si>
  <si>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峨眉</t>
    </r>
  </si>
  <si>
    <t>C0D430</t>
  </si>
  <si>
    <t>87m</t>
  </si>
  <si>
    <r>
      <rPr>
        <sz val="9"/>
        <rFont val="Verdana"/>
        <family val="2"/>
      </rPr>
      <t>峨眉鄉</t>
    </r>
    <r>
      <rPr>
        <sz val="9"/>
        <rFont val="Calibri"/>
        <family val="2"/>
      </rPr>
      <t>31541</t>
    </r>
    <r>
      <rPr>
        <sz val="9"/>
        <rFont val="Verdana"/>
        <family val="2"/>
      </rPr>
      <t>峨眉村峨眉街</t>
    </r>
    <r>
      <rPr>
        <sz val="9"/>
        <rFont val="Calibri"/>
        <family val="2"/>
      </rPr>
      <t>54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峨眉國中校園內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</si>
  <si>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(C1D430)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(C0D430)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</si>
  <si>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打鐵坑</t>
    </r>
  </si>
  <si>
    <t>C0D480</t>
  </si>
  <si>
    <t>223m</t>
  </si>
  <si>
    <r>
      <rPr>
        <sz val="9"/>
        <rFont val="Verdana"/>
        <family val="2"/>
      </rPr>
      <t>新埔鎮新北里</t>
    </r>
    <r>
      <rPr>
        <sz val="9"/>
        <rFont val="Calibri"/>
        <family val="2"/>
      </rPr>
      <t>8</t>
    </r>
    <r>
      <rPr>
        <sz val="9"/>
        <rFont val="Verdana"/>
        <family val="2"/>
      </rPr>
      <t>鄰大北坑</t>
    </r>
    <r>
      <rPr>
        <sz val="9"/>
        <rFont val="Calibri"/>
        <family val="2"/>
      </rPr>
      <t>28</t>
    </r>
    <r>
      <rPr>
        <sz val="9"/>
        <rFont val="Verdana"/>
        <family val="2"/>
      </rPr>
      <t>號旁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</si>
  <si>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(C1D480)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(C0D480)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</si>
  <si>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橫山</t>
    </r>
  </si>
  <si>
    <t>C0D540</t>
  </si>
  <si>
    <t>227m</t>
  </si>
  <si>
    <r>
      <rPr>
        <sz val="9"/>
        <rFont val="Verdana"/>
        <family val="2"/>
      </rPr>
      <t>橫山鄉橫山村橫山段</t>
    </r>
    <r>
      <rPr>
        <sz val="9"/>
        <rFont val="Calibri"/>
        <family val="2"/>
      </rPr>
      <t>426-6</t>
    </r>
    <r>
      <rPr>
        <sz val="9"/>
        <rFont val="Verdana"/>
        <family val="2"/>
      </rPr>
      <t>地號上</t>
    </r>
  </si>
  <si>
    <r>
      <rPr>
        <sz val="9"/>
        <rFont val="Verdana"/>
        <family val="2"/>
      </rPr>
      <t>雪霸</t>
    </r>
  </si>
  <si>
    <t>C0D550</t>
  </si>
  <si>
    <t>1956m</t>
  </si>
  <si>
    <r>
      <rPr>
        <sz val="9"/>
        <rFont val="Verdana"/>
        <family val="2"/>
      </rPr>
      <t>五峰鄉桃山村民石</t>
    </r>
    <r>
      <rPr>
        <sz val="9"/>
        <rFont val="Calibri"/>
        <family val="2"/>
      </rPr>
      <t>380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雪霸農場內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</si>
  <si>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竹東</t>
    </r>
  </si>
  <si>
    <t>C0D560</t>
  </si>
  <si>
    <t>147m</t>
  </si>
  <si>
    <r>
      <rPr>
        <sz val="9"/>
        <rFont val="Verdana"/>
        <family val="2"/>
      </rPr>
      <t>竹東鎮二重國民小學校園內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</si>
  <si>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(C1D560)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(C0D560)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</si>
  <si>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寶山</t>
    </r>
  </si>
  <si>
    <t>C0D580</t>
  </si>
  <si>
    <t>120m</t>
  </si>
  <si>
    <r>
      <rPr>
        <sz val="9"/>
        <rFont val="Verdana"/>
        <family val="2"/>
      </rPr>
      <t>寶山鄉新湖路</t>
    </r>
    <r>
      <rPr>
        <sz val="9"/>
        <rFont val="Calibri"/>
        <family val="2"/>
      </rPr>
      <t>280</t>
    </r>
    <r>
      <rPr>
        <sz val="9"/>
        <rFont val="Verdana"/>
        <family val="2"/>
      </rPr>
      <t>號旁</t>
    </r>
  </si>
  <si>
    <r>
      <rPr>
        <sz val="9"/>
        <rFont val="Verdana"/>
        <family val="2"/>
      </rPr>
      <t>新豐</t>
    </r>
  </si>
  <si>
    <t>C0D590</t>
  </si>
  <si>
    <r>
      <rPr>
        <sz val="9"/>
        <rFont val="Verdana"/>
        <family val="2"/>
      </rPr>
      <t>新豐鄉松柏村康和路</t>
    </r>
    <r>
      <rPr>
        <sz val="9"/>
        <rFont val="Calibri"/>
        <family val="2"/>
      </rPr>
      <t>199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小叮噹科學主題樂園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</si>
  <si>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(C0C580)</t>
    </r>
    <r>
      <rPr>
        <sz val="9"/>
        <rFont val="Verdana"/>
        <family val="2"/>
      </rPr>
      <t>站因縣市代碼不符，於</t>
    </r>
    <r>
      <rPr>
        <sz val="9"/>
        <rFont val="Calibri"/>
        <family val="2"/>
      </rPr>
      <t>2008/2/25</t>
    </r>
    <r>
      <rPr>
        <sz val="9"/>
        <rFont val="Verdana"/>
        <family val="2"/>
      </rPr>
      <t>重新編碼為</t>
    </r>
    <r>
      <rPr>
        <sz val="9"/>
        <rFont val="Calibri"/>
        <family val="2"/>
      </rPr>
      <t>(C0D590)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</si>
  <si>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湖口</t>
    </r>
  </si>
  <si>
    <t>C0D650</t>
  </si>
  <si>
    <t>97m</t>
  </si>
  <si>
    <r>
      <rPr>
        <sz val="9"/>
        <rFont val="Verdana"/>
        <family val="2"/>
      </rPr>
      <t>湖口鄉信勢村三鄰成功路</t>
    </r>
    <r>
      <rPr>
        <sz val="9"/>
        <rFont val="Calibri"/>
        <family val="2"/>
      </rPr>
      <t>109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湖口消防分隊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</si>
  <si>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新竹市東區</t>
    </r>
  </si>
  <si>
    <t>C0D660</t>
  </si>
  <si>
    <t>65m</t>
  </si>
  <si>
    <r>
      <rPr>
        <sz val="9"/>
        <rFont val="Verdana"/>
        <family val="2"/>
      </rPr>
      <t>新竹市</t>
    </r>
  </si>
  <si>
    <r>
      <rPr>
        <sz val="9"/>
        <rFont val="Verdana"/>
        <family val="2"/>
      </rPr>
      <t>東區光復路二段</t>
    </r>
    <r>
      <rPr>
        <sz val="9"/>
        <rFont val="Calibri"/>
        <family val="2"/>
      </rPr>
      <t>321</t>
    </r>
    <r>
      <rPr>
        <sz val="9"/>
        <rFont val="Verdana"/>
        <family val="2"/>
      </rPr>
      <t>號（工研院光復院區</t>
    </r>
    <r>
      <rPr>
        <sz val="9"/>
        <rFont val="Calibri"/>
        <family val="2"/>
      </rPr>
      <t>6</t>
    </r>
    <r>
      <rPr>
        <sz val="9"/>
        <rFont val="Verdana"/>
        <family val="2"/>
      </rPr>
      <t>館）</t>
    </r>
  </si>
  <si>
    <r>
      <rPr>
        <sz val="9"/>
        <rFont val="Verdana"/>
        <family val="2"/>
      </rPr>
      <t>海天一線</t>
    </r>
  </si>
  <si>
    <t>C0D670</t>
  </si>
  <si>
    <r>
      <rPr>
        <sz val="9"/>
        <rFont val="Verdana"/>
        <family val="2"/>
      </rPr>
      <t>北區</t>
    </r>
    <r>
      <rPr>
        <sz val="9"/>
        <rFont val="Calibri"/>
        <family val="2"/>
      </rPr>
      <t>(</t>
    </r>
    <r>
      <rPr>
        <sz val="9"/>
        <rFont val="Verdana"/>
        <family val="2"/>
      </rPr>
      <t>海天一線看海公園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</si>
  <si>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香山濕地</t>
    </r>
  </si>
  <si>
    <t>C0D680</t>
  </si>
  <si>
    <t>24m</t>
  </si>
  <si>
    <r>
      <rPr>
        <sz val="9"/>
        <rFont val="Verdana"/>
        <family val="2"/>
      </rPr>
      <t>香山區西濱路三段</t>
    </r>
    <r>
      <rPr>
        <sz val="9"/>
        <rFont val="Calibri"/>
        <family val="2"/>
      </rPr>
      <t>500</t>
    </r>
    <r>
      <rPr>
        <sz val="9"/>
        <rFont val="Verdana"/>
        <family val="2"/>
      </rPr>
      <t>巷</t>
    </r>
    <r>
      <rPr>
        <sz val="9"/>
        <rFont val="Calibri"/>
        <family val="2"/>
      </rPr>
      <t>17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</si>
  <si>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外湖</t>
    </r>
  </si>
  <si>
    <t>C0D690</t>
  </si>
  <si>
    <r>
      <rPr>
        <sz val="9"/>
        <rFont val="Verdana"/>
        <family val="2"/>
      </rPr>
      <t>新豐鄉新豐段</t>
    </r>
    <r>
      <rPr>
        <sz val="9"/>
        <rFont val="Calibri"/>
        <family val="2"/>
      </rPr>
      <t>00369-000</t>
    </r>
    <r>
      <rPr>
        <sz val="9"/>
        <rFont val="Verdana"/>
        <family val="2"/>
      </rPr>
      <t>建號</t>
    </r>
    <r>
      <rPr>
        <sz val="9"/>
        <rFont val="Calibri"/>
        <family val="2"/>
      </rPr>
      <t>(</t>
    </r>
    <r>
      <rPr>
        <sz val="9"/>
        <rFont val="Verdana"/>
        <family val="2"/>
      </rPr>
      <t>外湖守望哨樓頂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</si>
  <si>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關西</t>
    </r>
  </si>
  <si>
    <t>C0D700</t>
  </si>
  <si>
    <t>155m</t>
  </si>
  <si>
    <r>
      <rPr>
        <sz val="9"/>
        <rFont val="Verdana"/>
        <family val="2"/>
      </rPr>
      <t>關西鎮北斗里北門口</t>
    </r>
    <r>
      <rPr>
        <sz val="9"/>
        <rFont val="Calibri"/>
        <family val="2"/>
      </rPr>
      <t>41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關西國中校園內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</si>
  <si>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(C0D390)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2023/02/19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(C0D700)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</si>
  <si>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樂山林道</t>
    </r>
    <r>
      <rPr>
        <sz val="9"/>
        <rFont val="Calibri"/>
        <family val="2"/>
      </rPr>
      <t>6k</t>
    </r>
  </si>
  <si>
    <t>C0D750</t>
  </si>
  <si>
    <t>2292m</t>
  </si>
  <si>
    <r>
      <rPr>
        <sz val="9"/>
        <rFont val="Verdana"/>
        <family val="2"/>
      </rPr>
      <t>五峰鄉檜山段</t>
    </r>
    <r>
      <rPr>
        <sz val="9"/>
        <rFont val="Calibri"/>
        <family val="2"/>
      </rPr>
      <t>33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</si>
  <si>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大坪苗圃</t>
    </r>
  </si>
  <si>
    <t>C0D760</t>
  </si>
  <si>
    <t>1371m</t>
  </si>
  <si>
    <r>
      <rPr>
        <sz val="9"/>
        <rFont val="Verdana"/>
        <family val="2"/>
      </rPr>
      <t>五峰鄉腦寮段</t>
    </r>
    <r>
      <rPr>
        <sz val="9"/>
        <rFont val="Calibri"/>
        <family val="2"/>
      </rPr>
      <t>3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</si>
  <si>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竹南</t>
    </r>
  </si>
  <si>
    <t>C0E420</t>
  </si>
  <si>
    <r>
      <rPr>
        <sz val="9"/>
        <rFont val="Verdana"/>
        <family val="2"/>
      </rPr>
      <t>苗栗縣</t>
    </r>
  </si>
  <si>
    <r>
      <rPr>
        <sz val="9"/>
        <rFont val="Verdana"/>
        <family val="2"/>
      </rPr>
      <t>竹南鎮大埔里仁愛路</t>
    </r>
    <r>
      <rPr>
        <sz val="9"/>
        <rFont val="Calibri"/>
        <family val="2"/>
      </rPr>
      <t>1092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竹南鎮大埔國民小學內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</si>
  <si>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南庄</t>
    </r>
  </si>
  <si>
    <t>C0E430</t>
  </si>
  <si>
    <t>258m</t>
  </si>
  <si>
    <r>
      <rPr>
        <sz val="9"/>
        <rFont val="Verdana"/>
        <family val="2"/>
      </rPr>
      <t>南庄鄉東村文化路</t>
    </r>
    <r>
      <rPr>
        <sz val="9"/>
        <rFont val="Calibri"/>
        <family val="2"/>
      </rPr>
      <t>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南庄國小校園內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</si>
  <si>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明德</t>
    </r>
  </si>
  <si>
    <t>C0E550</t>
  </si>
  <si>
    <r>
      <rPr>
        <sz val="9"/>
        <rFont val="Verdana"/>
        <family val="2"/>
      </rPr>
      <t>頭屋鄉明德水庫水利工作站屋頂上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</si>
  <si>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(C1E550)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(C0E550)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</si>
  <si>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白沙屯</t>
    </r>
  </si>
  <si>
    <t>C0E570</t>
  </si>
  <si>
    <t>31m</t>
  </si>
  <si>
    <r>
      <rPr>
        <sz val="9"/>
        <rFont val="Verdana"/>
        <family val="2"/>
      </rPr>
      <t>通霄鎮新埔里</t>
    </r>
    <r>
      <rPr>
        <sz val="9"/>
        <rFont val="Calibri"/>
        <family val="2"/>
      </rPr>
      <t>19</t>
    </r>
    <r>
      <rPr>
        <sz val="9"/>
        <rFont val="Verdana"/>
        <family val="2"/>
      </rPr>
      <t>鄰新埔</t>
    </r>
    <r>
      <rPr>
        <sz val="9"/>
        <rFont val="Calibri"/>
        <family val="2"/>
      </rPr>
      <t>151-2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</si>
  <si>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通霄</t>
    </r>
  </si>
  <si>
    <t>C0E590</t>
  </si>
  <si>
    <r>
      <rPr>
        <sz val="9"/>
        <rFont val="Verdana"/>
        <family val="2"/>
      </rPr>
      <t>通霄鎮城北里</t>
    </r>
    <r>
      <rPr>
        <sz val="9"/>
        <rFont val="Calibri"/>
        <family val="2"/>
      </rPr>
      <t>1</t>
    </r>
    <r>
      <rPr>
        <sz val="9"/>
        <rFont val="Verdana"/>
        <family val="2"/>
      </rPr>
      <t>鄰</t>
    </r>
    <r>
      <rPr>
        <sz val="9"/>
        <rFont val="Calibri"/>
        <family val="2"/>
      </rPr>
      <t>13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通霄鎮城中國民小學內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</si>
  <si>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(C1E590)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(C0E590)</t>
    </r>
    <r>
      <rPr>
        <sz val="9"/>
        <rFont val="Verdana"/>
        <family val="2"/>
      </rPr>
      <t>站，原為土城雨量站。於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完成儀器汰換</t>
    </r>
  </si>
  <si>
    <r>
      <rPr>
        <sz val="9"/>
        <rFont val="Verdana"/>
        <family val="2"/>
      </rPr>
      <t>馬都安</t>
    </r>
  </si>
  <si>
    <t>C0E610</t>
  </si>
  <si>
    <t>850m</t>
  </si>
  <si>
    <r>
      <rPr>
        <sz val="9"/>
        <rFont val="Verdana"/>
        <family val="2"/>
      </rPr>
      <t>泰安鄉錦水村</t>
    </r>
    <r>
      <rPr>
        <sz val="9"/>
        <rFont val="Calibri"/>
        <family val="2"/>
      </rPr>
      <t>(</t>
    </r>
    <r>
      <rPr>
        <sz val="9"/>
        <rFont val="Verdana"/>
        <family val="2"/>
      </rPr>
      <t>由泰安開車約</t>
    </r>
    <r>
      <rPr>
        <sz val="9"/>
        <rFont val="Calibri"/>
        <family val="2"/>
      </rPr>
      <t>2</t>
    </r>
    <r>
      <rPr>
        <sz val="9"/>
        <rFont val="Verdana"/>
        <family val="2"/>
      </rPr>
      <t>小時瞭望台旁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</si>
  <si>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頭份</t>
    </r>
  </si>
  <si>
    <t>C0E730</t>
  </si>
  <si>
    <r>
      <rPr>
        <sz val="9"/>
        <rFont val="Verdana"/>
        <family val="2"/>
      </rPr>
      <t>頭份市中正路</t>
    </r>
    <r>
      <rPr>
        <sz val="9"/>
        <rFont val="Calibri"/>
        <family val="2"/>
      </rPr>
      <t>219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苗栗縣頭份鎮頭份國小校園內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</si>
  <si>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造橋</t>
    </r>
  </si>
  <si>
    <t>C0E740</t>
  </si>
  <si>
    <r>
      <rPr>
        <sz val="9"/>
        <rFont val="Verdana"/>
        <family val="2"/>
      </rPr>
      <t>造橋鄉造橋村</t>
    </r>
    <r>
      <rPr>
        <sz val="9"/>
        <rFont val="Calibri"/>
        <family val="2"/>
      </rPr>
      <t>14</t>
    </r>
    <r>
      <rPr>
        <sz val="9"/>
        <rFont val="Verdana"/>
        <family val="2"/>
      </rPr>
      <t>鄰</t>
    </r>
    <r>
      <rPr>
        <sz val="9"/>
        <rFont val="Calibri"/>
        <family val="2"/>
      </rPr>
      <t>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造橋國小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</si>
  <si>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完成儀器汰換</t>
    </r>
  </si>
  <si>
    <r>
      <rPr>
        <sz val="9"/>
        <rFont val="Verdana"/>
        <family val="2"/>
      </rPr>
      <t>苗栗</t>
    </r>
  </si>
  <si>
    <t>C0E750</t>
  </si>
  <si>
    <t>62m</t>
  </si>
  <si>
    <r>
      <rPr>
        <sz val="9"/>
        <rFont val="Verdana"/>
        <family val="2"/>
      </rPr>
      <t>苗栗市中正路</t>
    </r>
    <r>
      <rPr>
        <sz val="9"/>
        <rFont val="Calibri"/>
        <family val="2"/>
      </rPr>
      <t>241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建功國小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</si>
  <si>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銅鑼</t>
    </r>
  </si>
  <si>
    <t>C0E780</t>
  </si>
  <si>
    <t>160m</t>
  </si>
  <si>
    <r>
      <rPr>
        <sz val="9"/>
        <rFont val="Verdana"/>
        <family val="2"/>
      </rPr>
      <t>銅鑼鄉福興村文化街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銅鑼國小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</si>
  <si>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卓蘭</t>
    </r>
  </si>
  <si>
    <t>C0E791</t>
  </si>
  <si>
    <t>366m</t>
  </si>
  <si>
    <r>
      <rPr>
        <sz val="9"/>
        <rFont val="Verdana"/>
        <family val="2"/>
      </rPr>
      <t>卓蘭鎮中山路</t>
    </r>
    <r>
      <rPr>
        <sz val="9"/>
        <rFont val="Calibri"/>
        <family val="2"/>
      </rPr>
      <t>125-1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卓蘭鎮圖書館樓頂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</si>
  <si>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(C0E790)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2022/9/21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(C0E791)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</si>
  <si>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西湖</t>
    </r>
  </si>
  <si>
    <t>C0E810</t>
  </si>
  <si>
    <t>53m</t>
  </si>
  <si>
    <r>
      <rPr>
        <sz val="9"/>
        <rFont val="Verdana"/>
        <family val="2"/>
      </rPr>
      <t>西湖鄉二湖村</t>
    </r>
    <r>
      <rPr>
        <sz val="9"/>
        <rFont val="Calibri"/>
        <family val="2"/>
      </rPr>
      <t>2</t>
    </r>
    <r>
      <rPr>
        <sz val="9"/>
        <rFont val="Verdana"/>
        <family val="2"/>
      </rPr>
      <t>鄰</t>
    </r>
    <r>
      <rPr>
        <sz val="9"/>
        <rFont val="Calibri"/>
        <family val="2"/>
      </rPr>
      <t>22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僑文國小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</si>
  <si>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獅潭</t>
    </r>
  </si>
  <si>
    <t>C0E820</t>
  </si>
  <si>
    <t>220m</t>
  </si>
  <si>
    <r>
      <rPr>
        <sz val="9"/>
        <rFont val="Verdana"/>
        <family val="2"/>
      </rPr>
      <t>獅潭鄉新店村</t>
    </r>
    <r>
      <rPr>
        <sz val="9"/>
        <rFont val="Calibri"/>
        <family val="2"/>
      </rPr>
      <t>11</t>
    </r>
    <r>
      <rPr>
        <sz val="9"/>
        <rFont val="Verdana"/>
        <family val="2"/>
      </rPr>
      <t>鄰</t>
    </r>
    <r>
      <rPr>
        <sz val="9"/>
        <rFont val="Calibri"/>
        <family val="2"/>
      </rPr>
      <t>103-2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獅潭鄉公所圖書館樓頂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</si>
  <si>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苑裡</t>
    </r>
  </si>
  <si>
    <t>C0E830</t>
  </si>
  <si>
    <t>37m</t>
  </si>
  <si>
    <r>
      <rPr>
        <sz val="9"/>
        <rFont val="Verdana"/>
        <family val="2"/>
      </rPr>
      <t>苑裡鎮信義路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苑裡鎮公所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</si>
  <si>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大河</t>
    </r>
  </si>
  <si>
    <t>C0E850</t>
  </si>
  <si>
    <t>104m</t>
  </si>
  <si>
    <r>
      <rPr>
        <sz val="9"/>
        <rFont val="Verdana"/>
        <family val="2"/>
      </rPr>
      <t>三灣鄉大河村</t>
    </r>
    <r>
      <rPr>
        <sz val="9"/>
        <rFont val="Calibri"/>
        <family val="2"/>
      </rPr>
      <t>48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大河派出所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</si>
  <si>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高鐵苗栗</t>
    </r>
  </si>
  <si>
    <t>C0E870</t>
  </si>
  <si>
    <r>
      <rPr>
        <sz val="9"/>
        <rFont val="Verdana"/>
        <family val="2"/>
      </rPr>
      <t>後龍鎮高鐵三路</t>
    </r>
    <r>
      <rPr>
        <sz val="9"/>
        <rFont val="Calibri"/>
        <family val="2"/>
      </rPr>
      <t>268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高鐵苗栗站外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</si>
  <si>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海埔</t>
    </r>
  </si>
  <si>
    <t>C0E910</t>
  </si>
  <si>
    <r>
      <rPr>
        <sz val="9"/>
        <rFont val="Verdana"/>
        <family val="2"/>
      </rPr>
      <t>後龍鎮海埔</t>
    </r>
    <r>
      <rPr>
        <sz val="9"/>
        <rFont val="Calibri"/>
        <family val="2"/>
      </rPr>
      <t>125</t>
    </r>
    <r>
      <rPr>
        <sz val="9"/>
        <rFont val="Verdana"/>
        <family val="2"/>
      </rPr>
      <t>之</t>
    </r>
    <r>
      <rPr>
        <sz val="9"/>
        <rFont val="Calibri"/>
        <family val="2"/>
      </rPr>
      <t>15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外埔安檢所樓頂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</si>
  <si>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通霄漁港</t>
    </r>
  </si>
  <si>
    <t>C0E920</t>
  </si>
  <si>
    <r>
      <rPr>
        <sz val="9"/>
        <rFont val="Verdana"/>
        <family val="2"/>
      </rPr>
      <t>通霄鎮漁港路</t>
    </r>
    <r>
      <rPr>
        <sz val="9"/>
        <rFont val="Calibri"/>
        <family val="2"/>
      </rPr>
      <t>69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通霄安檢所樓頂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</si>
  <si>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龍鳳</t>
    </r>
  </si>
  <si>
    <t>C0E930</t>
  </si>
  <si>
    <r>
      <rPr>
        <sz val="9"/>
        <rFont val="Verdana"/>
        <family val="2"/>
      </rPr>
      <t>竹南鎮龍鳳里龍江街</t>
    </r>
    <r>
      <rPr>
        <sz val="9"/>
        <rFont val="Calibri"/>
        <family val="2"/>
      </rPr>
      <t>359</t>
    </r>
    <r>
      <rPr>
        <sz val="9"/>
        <rFont val="Verdana"/>
        <family val="2"/>
      </rPr>
      <t>巷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龍鳳安檢所樓頂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</si>
  <si>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雪見</t>
    </r>
  </si>
  <si>
    <t>C0E940</t>
  </si>
  <si>
    <t>1881m</t>
  </si>
  <si>
    <r>
      <rPr>
        <sz val="9"/>
        <rFont val="Verdana"/>
        <family val="2"/>
      </rPr>
      <t>泰安鄉盡尾段</t>
    </r>
    <r>
      <rPr>
        <sz val="9"/>
        <rFont val="Calibri"/>
        <family val="2"/>
      </rPr>
      <t>15-1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</si>
  <si>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松安</t>
    </r>
  </si>
  <si>
    <t>C0E950</t>
  </si>
  <si>
    <t>1328m</t>
  </si>
  <si>
    <r>
      <rPr>
        <sz val="9"/>
        <rFont val="Verdana"/>
        <family val="2"/>
      </rPr>
      <t>泰安鄉荻岡段</t>
    </r>
    <r>
      <rPr>
        <sz val="9"/>
        <rFont val="Calibri"/>
        <family val="2"/>
      </rPr>
      <t>39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</si>
  <si>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觀霧分站</t>
    </r>
  </si>
  <si>
    <t>C0E960</t>
  </si>
  <si>
    <t>2094m</t>
  </si>
  <si>
    <r>
      <rPr>
        <sz val="9"/>
        <rFont val="Verdana"/>
        <family val="2"/>
      </rPr>
      <t>泰安鄉觀霧段</t>
    </r>
    <r>
      <rPr>
        <sz val="9"/>
        <rFont val="Calibri"/>
        <family val="2"/>
      </rPr>
      <t>55-1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</si>
  <si>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雪山圈谷</t>
    </r>
  </si>
  <si>
    <t>C0F0A0</t>
  </si>
  <si>
    <t>3587m</t>
  </si>
  <si>
    <r>
      <rPr>
        <sz val="9"/>
        <rFont val="Verdana"/>
        <family val="2"/>
      </rPr>
      <t>臺中市</t>
    </r>
  </si>
  <si>
    <r>
      <rPr>
        <sz val="9"/>
        <rFont val="Verdana"/>
        <family val="2"/>
      </rPr>
      <t>和平區</t>
    </r>
    <r>
      <rPr>
        <sz val="9"/>
        <rFont val="Calibri"/>
        <family val="2"/>
      </rPr>
      <t>(</t>
    </r>
    <r>
      <rPr>
        <sz val="9"/>
        <rFont val="Verdana"/>
        <family val="2"/>
      </rPr>
      <t>往雪山主峰路上</t>
    </r>
    <r>
      <rPr>
        <sz val="9"/>
        <rFont val="Calibri"/>
        <family val="2"/>
      </rPr>
      <t>9.8</t>
    </r>
    <r>
      <rPr>
        <sz val="9"/>
        <rFont val="Verdana"/>
        <family val="2"/>
      </rPr>
      <t>公里處右邊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</si>
  <si>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石岡</t>
    </r>
  </si>
  <si>
    <t>C0F0B0</t>
  </si>
  <si>
    <t>311m</t>
  </si>
  <si>
    <r>
      <rPr>
        <sz val="9"/>
        <rFont val="Verdana"/>
        <family val="2"/>
      </rPr>
      <t>石岡區石岡街</t>
    </r>
    <r>
      <rPr>
        <sz val="9"/>
        <rFont val="Calibri"/>
        <family val="2"/>
      </rPr>
      <t>6</t>
    </r>
    <r>
      <rPr>
        <sz val="9"/>
        <rFont val="Verdana"/>
        <family val="2"/>
      </rPr>
      <t>號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臺中市石岡區衛生所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</si>
  <si>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中坑</t>
    </r>
  </si>
  <si>
    <t>C0F0C0</t>
  </si>
  <si>
    <t>983m</t>
  </si>
  <si>
    <r>
      <rPr>
        <sz val="9"/>
        <rFont val="Verdana"/>
        <family val="2"/>
      </rPr>
      <t>和平區中坑里中坑段</t>
    </r>
    <r>
      <rPr>
        <sz val="9"/>
        <rFont val="Calibri"/>
        <family val="2"/>
      </rPr>
      <t>39</t>
    </r>
    <r>
      <rPr>
        <sz val="9"/>
        <rFont val="Verdana"/>
        <family val="2"/>
      </rPr>
      <t>地號內</t>
    </r>
  </si>
  <si>
    <r>
      <rPr>
        <sz val="9"/>
        <rFont val="Verdana"/>
        <family val="2"/>
      </rPr>
      <t>審馬陣</t>
    </r>
  </si>
  <si>
    <t>C0F0D0</t>
  </si>
  <si>
    <t>3171m</t>
  </si>
  <si>
    <r>
      <rPr>
        <sz val="9"/>
        <rFont val="Verdana"/>
        <family val="2"/>
      </rPr>
      <t>和平區南湖大山指標</t>
    </r>
    <r>
      <rPr>
        <sz val="9"/>
        <rFont val="Calibri"/>
        <family val="2"/>
      </rPr>
      <t>16.2K</t>
    </r>
    <r>
      <rPr>
        <sz val="9"/>
        <rFont val="Verdana"/>
        <family val="2"/>
      </rPr>
      <t>處</t>
    </r>
    <r>
      <rPr>
        <sz val="9"/>
        <rFont val="Calibri"/>
        <family val="2"/>
      </rPr>
      <t>(</t>
    </r>
    <r>
      <rPr>
        <sz val="9"/>
        <rFont val="Verdana"/>
        <family val="2"/>
      </rPr>
      <t>審馬陣山附近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</si>
  <si>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南湖圈谷</t>
    </r>
  </si>
  <si>
    <t>C0F0E0</t>
  </si>
  <si>
    <t>3557m</t>
  </si>
  <si>
    <r>
      <rPr>
        <sz val="9"/>
        <rFont val="Verdana"/>
        <family val="2"/>
      </rPr>
      <t>和平區南湖大山指標</t>
    </r>
    <r>
      <rPr>
        <sz val="9"/>
        <rFont val="Calibri"/>
        <family val="2"/>
      </rPr>
      <t>20K</t>
    </r>
    <r>
      <rPr>
        <sz val="9"/>
        <rFont val="Verdana"/>
        <family val="2"/>
      </rPr>
      <t>處</t>
    </r>
    <r>
      <rPr>
        <sz val="9"/>
        <rFont val="Calibri"/>
        <family val="2"/>
      </rPr>
      <t>(</t>
    </r>
    <r>
      <rPr>
        <sz val="9"/>
        <rFont val="Verdana"/>
        <family val="2"/>
      </rPr>
      <t>南湖主峰東峰岔路附近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</si>
  <si>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東勢</t>
    </r>
  </si>
  <si>
    <t>C0F850</t>
  </si>
  <si>
    <t>379m</t>
  </si>
  <si>
    <r>
      <rPr>
        <sz val="9"/>
        <rFont val="Verdana"/>
        <family val="2"/>
      </rPr>
      <t>東勢區東關路</t>
    </r>
    <r>
      <rPr>
        <sz val="9"/>
        <rFont val="Calibri"/>
        <family val="2"/>
      </rPr>
      <t>647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東勢林區管理處雙崎工作站內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</si>
  <si>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(C1F850)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(C0F850)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</si>
  <si>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大坑</t>
    </r>
  </si>
  <si>
    <t>C0F970</t>
  </si>
  <si>
    <t>145m</t>
  </si>
  <si>
    <r>
      <rPr>
        <sz val="9"/>
        <rFont val="Verdana"/>
        <family val="2"/>
      </rPr>
      <t>北屯區軍福十三路</t>
    </r>
    <r>
      <rPr>
        <sz val="9"/>
        <rFont val="Calibri"/>
        <family val="2"/>
      </rPr>
      <t>268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東山消防分隊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</si>
  <si>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(C1F970)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(C0F970)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</si>
  <si>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神岡</t>
    </r>
  </si>
  <si>
    <t>C0F9I0</t>
  </si>
  <si>
    <t>194m</t>
  </si>
  <si>
    <r>
      <rPr>
        <sz val="9"/>
        <rFont val="Verdana"/>
        <family val="2"/>
      </rPr>
      <t>神岡區三民路</t>
    </r>
    <r>
      <rPr>
        <sz val="9"/>
        <rFont val="Calibri"/>
        <family val="2"/>
      </rPr>
      <t>639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圳堵國小校園南側大樓屋頂平台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</si>
  <si>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本站原為雨量站</t>
    </r>
    <r>
      <rPr>
        <sz val="9"/>
        <rFont val="Calibri"/>
        <family val="2"/>
      </rPr>
      <t>(C1F9I0)</t>
    </r>
    <r>
      <rPr>
        <sz val="9"/>
        <rFont val="Verdana"/>
        <family val="2"/>
      </rPr>
      <t>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擴充為氣象站，變更站碼為</t>
    </r>
    <r>
      <rPr>
        <sz val="9"/>
        <rFont val="Calibri"/>
        <family val="2"/>
      </rPr>
      <t>(C0F9I0)</t>
    </r>
    <r>
      <rPr>
        <sz val="9"/>
        <rFont val="Verdana"/>
        <family val="2"/>
      </rPr>
      <t>。於</t>
    </r>
    <r>
      <rPr>
        <sz val="9"/>
        <rFont val="Calibri"/>
        <family val="2"/>
      </rPr>
      <t>2025/02/05</t>
    </r>
    <r>
      <rPr>
        <sz val="9"/>
        <rFont val="Verdana"/>
        <family val="2"/>
      </rPr>
      <t>完成儀器汰換。</t>
    </r>
  </si>
  <si>
    <r>
      <rPr>
        <sz val="9"/>
        <rFont val="Verdana"/>
        <family val="2"/>
      </rPr>
      <t>大安</t>
    </r>
  </si>
  <si>
    <t>C0F9K0</t>
  </si>
  <si>
    <r>
      <rPr>
        <sz val="9"/>
        <rFont val="Verdana"/>
        <family val="2"/>
      </rPr>
      <t>大安區中庄里中山南路</t>
    </r>
    <r>
      <rPr>
        <sz val="9"/>
        <rFont val="Calibri"/>
        <family val="2"/>
      </rPr>
      <t>296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大安國小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</si>
  <si>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后里</t>
    </r>
  </si>
  <si>
    <t>C0F9L0</t>
  </si>
  <si>
    <t>253m</t>
  </si>
  <si>
    <r>
      <rPr>
        <sz val="9"/>
        <rFont val="Verdana"/>
        <family val="2"/>
      </rPr>
      <t>后里區甲后路</t>
    </r>
    <r>
      <rPr>
        <sz val="9"/>
        <rFont val="Calibri"/>
        <family val="2"/>
      </rPr>
      <t>110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后里國小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</si>
  <si>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豐原</t>
    </r>
  </si>
  <si>
    <t>C0F9M0</t>
  </si>
  <si>
    <t>230m</t>
  </si>
  <si>
    <r>
      <rPr>
        <sz val="9"/>
        <rFont val="Verdana"/>
        <family val="2"/>
      </rPr>
      <t>豐原區豐榮里</t>
    </r>
    <r>
      <rPr>
        <sz val="9"/>
        <rFont val="Calibri"/>
        <family val="2"/>
      </rPr>
      <t>12</t>
    </r>
    <r>
      <rPr>
        <sz val="9"/>
        <rFont val="Verdana"/>
        <family val="2"/>
      </rPr>
      <t>鄰新生北路</t>
    </r>
    <r>
      <rPr>
        <sz val="9"/>
        <rFont val="Calibri"/>
        <family val="2"/>
      </rPr>
      <t>155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豐原國小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</si>
  <si>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大里</t>
    </r>
  </si>
  <si>
    <t>C0F9N0</t>
  </si>
  <si>
    <t>75m</t>
  </si>
  <si>
    <r>
      <rPr>
        <sz val="9"/>
        <rFont val="Verdana"/>
        <family val="2"/>
      </rPr>
      <t>大里區文化街</t>
    </r>
    <r>
      <rPr>
        <sz val="9"/>
        <rFont val="Calibri"/>
        <family val="2"/>
      </rPr>
      <t>120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塗城國小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</si>
  <si>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潭子</t>
    </r>
  </si>
  <si>
    <t>C0F9O0</t>
  </si>
  <si>
    <t>175m</t>
  </si>
  <si>
    <r>
      <rPr>
        <sz val="9"/>
        <rFont val="Verdana"/>
        <family val="2"/>
      </rPr>
      <t>潭子區中山路二段</t>
    </r>
    <r>
      <rPr>
        <sz val="9"/>
        <rFont val="Calibri"/>
        <family val="2"/>
      </rPr>
      <t>435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潭子國小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</si>
  <si>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清水</t>
    </r>
  </si>
  <si>
    <t>C0F9P0</t>
  </si>
  <si>
    <r>
      <rPr>
        <sz val="9"/>
        <rFont val="Verdana"/>
        <family val="2"/>
      </rPr>
      <t>清水區護岸路</t>
    </r>
    <r>
      <rPr>
        <sz val="9"/>
        <rFont val="Calibri"/>
        <family val="2"/>
      </rPr>
      <t>37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高美國小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</si>
  <si>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外埔</t>
    </r>
  </si>
  <si>
    <t>C0F9Q0</t>
  </si>
  <si>
    <t>149m</t>
  </si>
  <si>
    <r>
      <rPr>
        <sz val="9"/>
        <rFont val="Verdana"/>
        <family val="2"/>
      </rPr>
      <t>外埔區土城里土城西路</t>
    </r>
    <r>
      <rPr>
        <sz val="9"/>
        <rFont val="Calibri"/>
        <family val="2"/>
      </rPr>
      <t>55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安定國小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</si>
  <si>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龍井</t>
    </r>
  </si>
  <si>
    <t>C0F9R0</t>
  </si>
  <si>
    <r>
      <rPr>
        <sz val="9"/>
        <rFont val="Verdana"/>
        <family val="2"/>
      </rPr>
      <t>龍井區西里龍門路</t>
    </r>
    <r>
      <rPr>
        <sz val="9"/>
        <rFont val="Calibri"/>
        <family val="2"/>
      </rPr>
      <t>51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龍井國小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</si>
  <si>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烏日</t>
    </r>
  </si>
  <si>
    <t>C0F9S0</t>
  </si>
  <si>
    <t>43m</t>
  </si>
  <si>
    <r>
      <rPr>
        <sz val="9"/>
        <rFont val="Verdana"/>
        <family val="2"/>
      </rPr>
      <t>烏日區中山路二段</t>
    </r>
    <r>
      <rPr>
        <sz val="9"/>
        <rFont val="Calibri"/>
        <family val="2"/>
      </rPr>
      <t>196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烏日國小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</si>
  <si>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西屯</t>
    </r>
  </si>
  <si>
    <t>C0F9T0</t>
  </si>
  <si>
    <t>111m</t>
  </si>
  <si>
    <r>
      <rPr>
        <sz val="9"/>
        <rFont val="Verdana"/>
        <family val="2"/>
      </rPr>
      <t>西屯區西屯路二段</t>
    </r>
    <r>
      <rPr>
        <sz val="9"/>
        <rFont val="Calibri"/>
        <family val="2"/>
      </rPr>
      <t>300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西屯國小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</si>
  <si>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南屯</t>
    </r>
  </si>
  <si>
    <t>C0F9U0</t>
  </si>
  <si>
    <t>74m</t>
  </si>
  <si>
    <r>
      <rPr>
        <sz val="9"/>
        <rFont val="Verdana"/>
        <family val="2"/>
      </rPr>
      <t>南屯區黎明路一段</t>
    </r>
    <r>
      <rPr>
        <sz val="9"/>
        <rFont val="Calibri"/>
        <family val="2"/>
      </rPr>
      <t>968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南屯國小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</si>
  <si>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新社</t>
    </r>
  </si>
  <si>
    <t>C0F9V0</t>
  </si>
  <si>
    <t>525m</t>
  </si>
  <si>
    <r>
      <rPr>
        <sz val="9"/>
        <rFont val="Verdana"/>
        <family val="2"/>
      </rPr>
      <t>新社區大南里興中街</t>
    </r>
    <r>
      <rPr>
        <sz val="9"/>
        <rFont val="Calibri"/>
        <family val="2"/>
      </rPr>
      <t>46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農委會種苗改良繁殖場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</si>
  <si>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大雅</t>
    </r>
    <r>
      <rPr>
        <sz val="9"/>
        <rFont val="Calibri"/>
        <family val="2"/>
      </rPr>
      <t>(</t>
    </r>
    <r>
      <rPr>
        <sz val="9"/>
        <rFont val="Verdana"/>
        <family val="2"/>
      </rPr>
      <t>中科園區</t>
    </r>
    <r>
      <rPr>
        <sz val="9"/>
        <rFont val="Calibri"/>
        <family val="2"/>
      </rPr>
      <t>)</t>
    </r>
  </si>
  <si>
    <t>C0F9X0</t>
  </si>
  <si>
    <t>166m</t>
  </si>
  <si>
    <r>
      <rPr>
        <sz val="9"/>
        <rFont val="Verdana"/>
        <family val="2"/>
      </rPr>
      <t>大雅區中部科學工業園區臺中園區</t>
    </r>
    <r>
      <rPr>
        <sz val="9"/>
        <rFont val="Calibri"/>
        <family val="2"/>
      </rPr>
      <t>(</t>
    </r>
    <r>
      <rPr>
        <sz val="9"/>
        <rFont val="Verdana"/>
        <family val="2"/>
      </rPr>
      <t>汙水處理機房樓頂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</si>
  <si>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桃山</t>
    </r>
  </si>
  <si>
    <t>C0F9Y0</t>
  </si>
  <si>
    <t>3313m</t>
  </si>
  <si>
    <r>
      <rPr>
        <sz val="9"/>
        <rFont val="Verdana"/>
        <family val="2"/>
      </rPr>
      <t>和平區</t>
    </r>
    <r>
      <rPr>
        <sz val="9"/>
        <rFont val="Calibri"/>
        <family val="2"/>
      </rPr>
      <t>(</t>
    </r>
    <r>
      <rPr>
        <sz val="9"/>
        <rFont val="Verdana"/>
        <family val="2"/>
      </rPr>
      <t>位於往桃山山屋叉路解說牌附近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</si>
  <si>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雪山東峰</t>
    </r>
  </si>
  <si>
    <t>C0F9Z0</t>
  </si>
  <si>
    <t>3193m</t>
  </si>
  <si>
    <r>
      <rPr>
        <sz val="9"/>
        <rFont val="Verdana"/>
        <family val="2"/>
      </rPr>
      <t>和平區</t>
    </r>
    <r>
      <rPr>
        <sz val="9"/>
        <rFont val="Calibri"/>
        <family val="2"/>
      </rPr>
      <t>(</t>
    </r>
    <r>
      <rPr>
        <sz val="9"/>
        <rFont val="Verdana"/>
        <family val="2"/>
      </rPr>
      <t>位於雪山東峰直升機停機坪東南東方</t>
    </r>
    <r>
      <rPr>
        <sz val="9"/>
        <rFont val="Calibri"/>
        <family val="2"/>
      </rPr>
      <t>60</t>
    </r>
    <r>
      <rPr>
        <sz val="9"/>
        <rFont val="Verdana"/>
        <family val="2"/>
      </rPr>
      <t>公尺處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</si>
  <si>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松柏</t>
    </r>
  </si>
  <si>
    <t>C0FA10</t>
  </si>
  <si>
    <r>
      <rPr>
        <sz val="9"/>
        <rFont val="Verdana"/>
        <family val="2"/>
      </rPr>
      <t>大甲區順帆路</t>
    </r>
    <r>
      <rPr>
        <sz val="9"/>
        <rFont val="Calibri"/>
        <family val="2"/>
      </rPr>
      <t>233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松柏安檢所樓頂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</si>
  <si>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溫寮</t>
    </r>
  </si>
  <si>
    <t>C0FA20</t>
  </si>
  <si>
    <r>
      <rPr>
        <sz val="9"/>
        <rFont val="Verdana"/>
        <family val="2"/>
      </rPr>
      <t>大安區中山北路</t>
    </r>
    <r>
      <rPr>
        <sz val="9"/>
        <rFont val="Calibri"/>
        <family val="2"/>
      </rPr>
      <t>1</t>
    </r>
    <r>
      <rPr>
        <sz val="9"/>
        <rFont val="Verdana"/>
        <family val="2"/>
      </rPr>
      <t>巷</t>
    </r>
    <r>
      <rPr>
        <sz val="9"/>
        <rFont val="Calibri"/>
        <family val="2"/>
      </rPr>
      <t>67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臺中大安區里民活動中心樓頂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</si>
  <si>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梧棲</t>
    </r>
  </si>
  <si>
    <t>C0FA30</t>
  </si>
  <si>
    <t>31.73m</t>
  </si>
  <si>
    <r>
      <rPr>
        <sz val="9"/>
        <rFont val="Verdana"/>
        <family val="2"/>
      </rPr>
      <t>梧棲區臺灣大道十段</t>
    </r>
    <r>
      <rPr>
        <sz val="9"/>
        <rFont val="Calibri"/>
        <family val="2"/>
      </rPr>
      <t>2</t>
    </r>
    <r>
      <rPr>
        <sz val="9"/>
        <rFont val="Verdana"/>
        <family val="2"/>
      </rPr>
      <t>號海港大樓</t>
    </r>
    <r>
      <rPr>
        <sz val="9"/>
        <rFont val="Calibri"/>
        <family val="2"/>
      </rPr>
      <t>6</t>
    </r>
    <r>
      <rPr>
        <sz val="9"/>
        <rFont val="Verdana"/>
        <family val="2"/>
      </rPr>
      <t>樓</t>
    </r>
  </si>
  <si>
    <r>
      <rPr>
        <sz val="9"/>
        <rFont val="Verdana"/>
        <family val="2"/>
      </rPr>
      <t>本站站碼於</t>
    </r>
    <r>
      <rPr>
        <sz val="9"/>
        <rFont val="Calibri"/>
        <family val="2"/>
      </rPr>
      <t>2022/8/1</t>
    </r>
    <r>
      <rPr>
        <sz val="9"/>
        <rFont val="Verdana"/>
        <family val="2"/>
      </rPr>
      <t>由</t>
    </r>
    <r>
      <rPr>
        <sz val="9"/>
        <rFont val="Calibri"/>
        <family val="2"/>
      </rPr>
      <t>467770</t>
    </r>
    <r>
      <rPr>
        <sz val="9"/>
        <rFont val="Verdana"/>
        <family val="2"/>
      </rPr>
      <t>改為</t>
    </r>
    <r>
      <rPr>
        <sz val="9"/>
        <rFont val="Calibri"/>
        <family val="2"/>
      </rPr>
      <t>C0FA30</t>
    </r>
    <r>
      <rPr>
        <sz val="9"/>
        <rFont val="Verdana"/>
        <family val="2"/>
      </rPr>
      <t>。</t>
    </r>
  </si>
  <si>
    <r>
      <rPr>
        <sz val="9"/>
        <rFont val="Verdana"/>
        <family val="2"/>
      </rPr>
      <t>臺中電廠</t>
    </r>
  </si>
  <si>
    <t>C0FA40</t>
  </si>
  <si>
    <r>
      <rPr>
        <sz val="9"/>
        <rFont val="Verdana"/>
        <family val="2"/>
      </rPr>
      <t>龍井區龍昌路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</si>
  <si>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霧峰</t>
    </r>
  </si>
  <si>
    <t>C0FA50</t>
  </si>
  <si>
    <t>58m</t>
  </si>
  <si>
    <r>
      <rPr>
        <sz val="9"/>
        <rFont val="Verdana"/>
        <family val="2"/>
      </rPr>
      <t>霧峰區新生路</t>
    </r>
    <r>
      <rPr>
        <sz val="9"/>
        <rFont val="Calibri"/>
        <family val="2"/>
      </rPr>
      <t>192</t>
    </r>
    <r>
      <rPr>
        <sz val="9"/>
        <rFont val="Verdana"/>
        <family val="2"/>
      </rPr>
      <t>號</t>
    </r>
    <r>
      <rPr>
        <sz val="9"/>
        <rFont val="Calibri"/>
        <family val="2"/>
      </rPr>
      <t>(921</t>
    </r>
    <r>
      <rPr>
        <sz val="9"/>
        <rFont val="Verdana"/>
        <family val="2"/>
      </rPr>
      <t>地震教育園區內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</si>
  <si>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鞍馬山工作站</t>
    </r>
  </si>
  <si>
    <t>C0FA60</t>
  </si>
  <si>
    <t>2137m</t>
  </si>
  <si>
    <r>
      <rPr>
        <sz val="9"/>
        <rFont val="Verdana"/>
        <family val="2"/>
      </rPr>
      <t>和平區鞍馬山段</t>
    </r>
    <r>
      <rPr>
        <sz val="9"/>
        <rFont val="Calibri"/>
        <family val="2"/>
      </rPr>
      <t>31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</si>
  <si>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大雪山埡口</t>
    </r>
  </si>
  <si>
    <t>C0FA70</t>
  </si>
  <si>
    <t>2591m</t>
  </si>
  <si>
    <r>
      <rPr>
        <sz val="9"/>
        <rFont val="Verdana"/>
        <family val="2"/>
      </rPr>
      <t>和平區小雪山段</t>
    </r>
    <r>
      <rPr>
        <sz val="9"/>
        <rFont val="Calibri"/>
        <family val="2"/>
      </rPr>
      <t>36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</si>
  <si>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小雪山天池</t>
    </r>
  </si>
  <si>
    <t>C0FA80</t>
  </si>
  <si>
    <t>2629m</t>
  </si>
  <si>
    <r>
      <rPr>
        <sz val="9"/>
        <rFont val="Verdana"/>
        <family val="2"/>
      </rPr>
      <t>和平區小雪山段</t>
    </r>
    <r>
      <rPr>
        <sz val="9"/>
        <rFont val="Calibri"/>
        <family val="2"/>
      </rPr>
      <t>3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</si>
  <si>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小雪山林道</t>
    </r>
  </si>
  <si>
    <t>C0FA90</t>
  </si>
  <si>
    <t>2940m</t>
  </si>
  <si>
    <r>
      <rPr>
        <sz val="9"/>
        <rFont val="Verdana"/>
        <family val="2"/>
      </rPr>
      <t>和平區小雪山段</t>
    </r>
    <r>
      <rPr>
        <sz val="9"/>
        <rFont val="Calibri"/>
        <family val="2"/>
      </rPr>
      <t>51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</si>
  <si>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大雪山</t>
    </r>
  </si>
  <si>
    <t>C0FB00</t>
  </si>
  <si>
    <t>2275m</t>
  </si>
  <si>
    <r>
      <rPr>
        <sz val="9"/>
        <rFont val="Verdana"/>
        <family val="2"/>
      </rPr>
      <t>和平區鞍馬山段</t>
    </r>
    <r>
      <rPr>
        <sz val="9"/>
        <rFont val="Calibri"/>
        <family val="2"/>
      </rPr>
      <t>4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</si>
  <si>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出雲山苗圃</t>
    </r>
  </si>
  <si>
    <t>C0FB10</t>
  </si>
  <si>
    <t>1034m</t>
  </si>
  <si>
    <r>
      <rPr>
        <sz val="9"/>
        <rFont val="Verdana"/>
        <family val="2"/>
      </rPr>
      <t>和平區橫流溪段</t>
    </r>
    <r>
      <rPr>
        <sz val="9"/>
        <rFont val="Calibri"/>
        <family val="2"/>
      </rPr>
      <t>41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</si>
  <si>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雪山橋</t>
    </r>
  </si>
  <si>
    <t>C0FB20</t>
  </si>
  <si>
    <t>2006m</t>
  </si>
  <si>
    <r>
      <rPr>
        <sz val="9"/>
        <rFont val="Verdana"/>
        <family val="2"/>
      </rPr>
      <t>和平區鞍馬山段</t>
    </r>
    <r>
      <rPr>
        <sz val="9"/>
        <rFont val="Calibri"/>
        <family val="2"/>
      </rPr>
      <t>111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</si>
  <si>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八仙山苗圃</t>
    </r>
  </si>
  <si>
    <t>C0FB30</t>
  </si>
  <si>
    <t>961m</t>
  </si>
  <si>
    <r>
      <rPr>
        <sz val="9"/>
        <rFont val="Verdana"/>
        <family val="2"/>
      </rPr>
      <t>和平區八仙山段</t>
    </r>
    <r>
      <rPr>
        <sz val="9"/>
        <rFont val="Calibri"/>
        <family val="2"/>
      </rPr>
      <t>32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</si>
  <si>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中橫</t>
    </r>
    <r>
      <rPr>
        <sz val="9"/>
        <rFont val="Calibri"/>
        <family val="2"/>
      </rPr>
      <t>21.6k</t>
    </r>
  </si>
  <si>
    <t>C0FB40</t>
  </si>
  <si>
    <t>1341m</t>
  </si>
  <si>
    <r>
      <rPr>
        <sz val="9"/>
        <rFont val="Verdana"/>
        <family val="2"/>
      </rPr>
      <t>和平區光明段</t>
    </r>
    <r>
      <rPr>
        <sz val="9"/>
        <rFont val="Calibri"/>
        <family val="2"/>
      </rPr>
      <t>12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</si>
  <si>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大甲溪埔</t>
    </r>
  </si>
  <si>
    <t>C0FB70</t>
  </si>
  <si>
    <t>41m</t>
  </si>
  <si>
    <r>
      <rPr>
        <sz val="9"/>
        <rFont val="Verdana"/>
        <family val="2"/>
      </rPr>
      <t>台中市大甲區東西七路一段</t>
    </r>
    <r>
      <rPr>
        <sz val="9"/>
        <rFont val="Calibri"/>
        <family val="2"/>
      </rPr>
      <t>(</t>
    </r>
    <r>
      <rPr>
        <sz val="9"/>
        <rFont val="Verdana"/>
        <family val="2"/>
      </rPr>
      <t>大甲飛龍團九天玄女會館入口旁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</si>
  <si>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2025/02/07</t>
    </r>
    <r>
      <rPr>
        <sz val="9"/>
        <rFont val="Verdana"/>
        <family val="2"/>
      </rPr>
      <t>變更站名。</t>
    </r>
  </si>
  <si>
    <r>
      <rPr>
        <sz val="9"/>
        <rFont val="Verdana"/>
        <family val="2"/>
      </rPr>
      <t>芬園</t>
    </r>
  </si>
  <si>
    <t>C0G620</t>
  </si>
  <si>
    <t>110m</t>
  </si>
  <si>
    <r>
      <rPr>
        <sz val="9"/>
        <rFont val="Verdana"/>
        <family val="2"/>
      </rPr>
      <t>彰化縣</t>
    </r>
  </si>
  <si>
    <r>
      <rPr>
        <sz val="9"/>
        <rFont val="Verdana"/>
        <family val="2"/>
      </rPr>
      <t>芬園鄉楓坑村大埔崙產業道路上</t>
    </r>
    <r>
      <rPr>
        <sz val="9"/>
        <rFont val="Calibri"/>
        <family val="2"/>
      </rPr>
      <t>(</t>
    </r>
    <r>
      <rPr>
        <sz val="9"/>
        <rFont val="Verdana"/>
        <family val="2"/>
      </rPr>
      <t>芬園往臺灣民俗村路上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</si>
  <si>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(C1G620)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(C0G620)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</si>
  <si>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員林</t>
    </r>
  </si>
  <si>
    <t>C0G650</t>
  </si>
  <si>
    <r>
      <rPr>
        <sz val="9"/>
        <rFont val="Verdana"/>
        <family val="2"/>
      </rPr>
      <t>員林市萬年里明倫路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明倫國中內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</si>
  <si>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2011/3/10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</si>
  <si>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溪湖</t>
    </r>
  </si>
  <si>
    <t>C0G660</t>
  </si>
  <si>
    <r>
      <rPr>
        <sz val="9"/>
        <rFont val="Verdana"/>
        <family val="2"/>
      </rPr>
      <t>溪湖鎮大竹里彰水路</t>
    </r>
    <r>
      <rPr>
        <sz val="9"/>
        <rFont val="Calibri"/>
        <family val="2"/>
      </rPr>
      <t>2</t>
    </r>
    <r>
      <rPr>
        <sz val="9"/>
        <rFont val="Verdana"/>
        <family val="2"/>
      </rPr>
      <t>段</t>
    </r>
    <r>
      <rPr>
        <sz val="9"/>
        <rFont val="Calibri"/>
        <family val="2"/>
      </rPr>
      <t>725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湖南國民小學內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</si>
  <si>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(C1G660)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(C0G660)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</si>
  <si>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溪州</t>
    </r>
  </si>
  <si>
    <t>C0G720</t>
  </si>
  <si>
    <r>
      <rPr>
        <sz val="9"/>
        <rFont val="Verdana"/>
        <family val="2"/>
      </rPr>
      <t>溪州鄉溪下路四段</t>
    </r>
    <r>
      <rPr>
        <sz val="9"/>
        <rFont val="Calibri"/>
        <family val="2"/>
      </rPr>
      <t>560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溪州鄉公所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</si>
  <si>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二林</t>
    </r>
  </si>
  <si>
    <t>C0G730</t>
  </si>
  <si>
    <r>
      <rPr>
        <sz val="9"/>
        <rFont val="Verdana"/>
        <family val="2"/>
      </rPr>
      <t>二林鎮仁愛路</t>
    </r>
    <r>
      <rPr>
        <sz val="9"/>
        <rFont val="Calibri"/>
        <family val="2"/>
      </rPr>
      <t>200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二林消防分隊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</si>
  <si>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原中西</t>
    </r>
    <r>
      <rPr>
        <sz val="9"/>
        <rFont val="Calibri"/>
        <family val="2"/>
      </rPr>
      <t>(C1G700)</t>
    </r>
    <r>
      <rPr>
        <sz val="9"/>
        <rFont val="Verdana"/>
        <family val="2"/>
      </rPr>
      <t>站因移位及擴充為氣象站，於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(C0G730)</t>
    </r>
    <r>
      <rPr>
        <sz val="9"/>
        <rFont val="Verdana"/>
        <family val="2"/>
      </rPr>
      <t>站，站名更變為二林。</t>
    </r>
  </si>
  <si>
    <r>
      <rPr>
        <sz val="9"/>
        <rFont val="Verdana"/>
        <family val="2"/>
      </rPr>
      <t>大城</t>
    </r>
  </si>
  <si>
    <t>C0G740</t>
  </si>
  <si>
    <r>
      <rPr>
        <sz val="9"/>
        <rFont val="Verdana"/>
        <family val="2"/>
      </rPr>
      <t>大城鄉東城村中平路</t>
    </r>
    <r>
      <rPr>
        <sz val="9"/>
        <rFont val="Calibri"/>
        <family val="2"/>
      </rPr>
      <t>185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大城鄉公所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</si>
  <si>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福興</t>
    </r>
  </si>
  <si>
    <t>C0G770</t>
  </si>
  <si>
    <r>
      <rPr>
        <sz val="9"/>
        <rFont val="Verdana"/>
        <family val="2"/>
      </rPr>
      <t>福興鄉員鹿路二段</t>
    </r>
    <r>
      <rPr>
        <sz val="9"/>
        <rFont val="Calibri"/>
        <family val="2"/>
      </rPr>
      <t>270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福興國中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</si>
  <si>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秀水</t>
    </r>
  </si>
  <si>
    <t>C0G780</t>
  </si>
  <si>
    <r>
      <rPr>
        <sz val="9"/>
        <rFont val="Verdana"/>
        <family val="2"/>
      </rPr>
      <t>秀水鄉安東村中山路</t>
    </r>
    <r>
      <rPr>
        <sz val="9"/>
        <rFont val="Calibri"/>
        <family val="2"/>
      </rPr>
      <t>257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秀水國小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</si>
  <si>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埔鹽</t>
    </r>
  </si>
  <si>
    <t>C0G800</t>
  </si>
  <si>
    <r>
      <rPr>
        <sz val="9"/>
        <rFont val="Verdana"/>
        <family val="2"/>
      </rPr>
      <t>埔鹽鄉永樂村永樂路</t>
    </r>
    <r>
      <rPr>
        <sz val="9"/>
        <rFont val="Calibri"/>
        <family val="2"/>
      </rPr>
      <t>600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永樂國小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</si>
  <si>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埔心</t>
    </r>
  </si>
  <si>
    <t>C0G810</t>
  </si>
  <si>
    <r>
      <rPr>
        <sz val="9"/>
        <rFont val="Verdana"/>
        <family val="2"/>
      </rPr>
      <t>埔心鄉舊館村員鹿路四段</t>
    </r>
    <r>
      <rPr>
        <sz val="9"/>
        <rFont val="Calibri"/>
        <family val="2"/>
      </rPr>
      <t>201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舊館國小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</si>
  <si>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田尾</t>
    </r>
  </si>
  <si>
    <t>C0G820</t>
  </si>
  <si>
    <t>29m</t>
  </si>
  <si>
    <r>
      <rPr>
        <sz val="9"/>
        <rFont val="Verdana"/>
        <family val="2"/>
      </rPr>
      <t>田尾鄉中正路二段</t>
    </r>
    <r>
      <rPr>
        <sz val="9"/>
        <rFont val="Calibri"/>
        <family val="2"/>
      </rPr>
      <t>101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仁豐國小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</si>
  <si>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埤頭</t>
    </r>
  </si>
  <si>
    <t>C0G830</t>
  </si>
  <si>
    <r>
      <rPr>
        <sz val="9"/>
        <rFont val="Verdana"/>
        <family val="2"/>
      </rPr>
      <t>埤頭鄉大湖村大湖路</t>
    </r>
    <r>
      <rPr>
        <sz val="9"/>
        <rFont val="Calibri"/>
        <family val="2"/>
      </rPr>
      <t>260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大湖國小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</si>
  <si>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社頭</t>
    </r>
  </si>
  <si>
    <t>C0G860</t>
  </si>
  <si>
    <t>45m</t>
  </si>
  <si>
    <r>
      <rPr>
        <sz val="9"/>
        <rFont val="Verdana"/>
        <family val="2"/>
      </rPr>
      <t>社頭鄉社斗路一段</t>
    </r>
    <r>
      <rPr>
        <sz val="9"/>
        <rFont val="Calibri"/>
        <family val="2"/>
      </rPr>
      <t>258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社頭國小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</si>
  <si>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二水</t>
    </r>
  </si>
  <si>
    <t>C0G880</t>
  </si>
  <si>
    <t>92m</t>
  </si>
  <si>
    <r>
      <rPr>
        <sz val="9"/>
        <rFont val="Verdana"/>
        <family val="2"/>
      </rPr>
      <t>二水鄉文化村</t>
    </r>
    <r>
      <rPr>
        <sz val="9"/>
        <rFont val="Calibri"/>
        <family val="2"/>
      </rPr>
      <t>119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二水國小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</si>
  <si>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伸港</t>
    </r>
  </si>
  <si>
    <t>C0G890</t>
  </si>
  <si>
    <r>
      <rPr>
        <sz val="9"/>
        <rFont val="Verdana"/>
        <family val="2"/>
      </rPr>
      <t>伸港鄉新港村和平路</t>
    </r>
    <r>
      <rPr>
        <sz val="9"/>
        <rFont val="Calibri"/>
        <family val="2"/>
      </rPr>
      <t>60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新港國小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</si>
  <si>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線西</t>
    </r>
  </si>
  <si>
    <t>C0G900</t>
  </si>
  <si>
    <r>
      <rPr>
        <sz val="9"/>
        <rFont val="Verdana"/>
        <family val="2"/>
      </rPr>
      <t>線西鄉慶福路</t>
    </r>
    <r>
      <rPr>
        <sz val="9"/>
        <rFont val="Calibri"/>
        <family val="2"/>
      </rPr>
      <t>300</t>
    </r>
    <r>
      <rPr>
        <sz val="9"/>
        <rFont val="Verdana"/>
        <family val="2"/>
      </rPr>
      <t>號（彰濱工業區線西服務大樓內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</si>
  <si>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花壇</t>
    </r>
  </si>
  <si>
    <t>C0G910</t>
  </si>
  <si>
    <t>42m</t>
  </si>
  <si>
    <r>
      <rPr>
        <sz val="9"/>
        <rFont val="Verdana"/>
        <family val="2"/>
      </rPr>
      <t>花壇鄉彰員路</t>
    </r>
    <r>
      <rPr>
        <sz val="9"/>
        <rFont val="Calibri"/>
        <family val="2"/>
      </rPr>
      <t>2</t>
    </r>
    <r>
      <rPr>
        <sz val="9"/>
        <rFont val="Verdana"/>
        <family val="2"/>
      </rPr>
      <t>段</t>
    </r>
    <r>
      <rPr>
        <sz val="9"/>
        <rFont val="Calibri"/>
        <family val="2"/>
      </rPr>
      <t>580</t>
    </r>
    <r>
      <rPr>
        <sz val="9"/>
        <rFont val="Verdana"/>
        <family val="2"/>
      </rPr>
      <t>號（花壇國中內）</t>
    </r>
  </si>
  <si>
    <r>
      <rPr>
        <sz val="9"/>
        <rFont val="Verdana"/>
        <family val="2"/>
      </rPr>
      <t>永靖</t>
    </r>
  </si>
  <si>
    <t>C0G920</t>
  </si>
  <si>
    <r>
      <rPr>
        <sz val="9"/>
        <rFont val="Verdana"/>
        <family val="2"/>
      </rPr>
      <t>永靖鄉瑚璉路</t>
    </r>
    <r>
      <rPr>
        <sz val="9"/>
        <rFont val="Calibri"/>
        <family val="2"/>
      </rPr>
      <t>230</t>
    </r>
    <r>
      <rPr>
        <sz val="9"/>
        <rFont val="Verdana"/>
        <family val="2"/>
      </rPr>
      <t>號（永靖鄉公所樓頂）</t>
    </r>
  </si>
  <si>
    <r>
      <rPr>
        <sz val="9"/>
        <rFont val="Verdana"/>
        <family val="2"/>
      </rPr>
      <t>竹塘</t>
    </r>
  </si>
  <si>
    <t>C0G940</t>
  </si>
  <si>
    <r>
      <rPr>
        <sz val="9"/>
        <rFont val="Verdana"/>
        <family val="2"/>
      </rPr>
      <t>竹塘鄉東陽路二段</t>
    </r>
    <r>
      <rPr>
        <sz val="9"/>
        <rFont val="Calibri"/>
        <family val="2"/>
      </rPr>
      <t>123</t>
    </r>
    <r>
      <rPr>
        <sz val="9"/>
        <rFont val="Verdana"/>
        <family val="2"/>
      </rPr>
      <t>號（長安國小校園內）</t>
    </r>
  </si>
  <si>
    <r>
      <rPr>
        <sz val="9"/>
        <rFont val="Verdana"/>
        <family val="2"/>
      </rPr>
      <t>防潮門</t>
    </r>
  </si>
  <si>
    <t>C0G950</t>
  </si>
  <si>
    <r>
      <rPr>
        <sz val="9"/>
        <rFont val="Verdana"/>
        <family val="2"/>
      </rPr>
      <t>伸港鄉全興村西全路</t>
    </r>
    <r>
      <rPr>
        <sz val="9"/>
        <rFont val="Calibri"/>
        <family val="2"/>
      </rPr>
      <t>167</t>
    </r>
    <r>
      <rPr>
        <sz val="9"/>
        <rFont val="Verdana"/>
        <family val="2"/>
      </rPr>
      <t>巷</t>
    </r>
    <r>
      <rPr>
        <sz val="9"/>
        <rFont val="Calibri"/>
        <family val="2"/>
      </rPr>
      <t>111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</si>
  <si>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福寶</t>
    </r>
  </si>
  <si>
    <t>C0G960</t>
  </si>
  <si>
    <r>
      <rPr>
        <sz val="9"/>
        <rFont val="Verdana"/>
        <family val="2"/>
      </rPr>
      <t>福興鄉</t>
    </r>
  </si>
  <si>
    <r>
      <rPr>
        <sz val="9"/>
        <rFont val="Verdana"/>
        <family val="2"/>
      </rPr>
      <t>三豐</t>
    </r>
  </si>
  <si>
    <t>C0G970</t>
  </si>
  <si>
    <r>
      <rPr>
        <sz val="9"/>
        <rFont val="Verdana"/>
        <family val="2"/>
      </rPr>
      <t>大城鄉三豐村和平路</t>
    </r>
    <r>
      <rPr>
        <sz val="9"/>
        <rFont val="Calibri"/>
        <family val="2"/>
      </rPr>
      <t>30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</si>
  <si>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和美</t>
    </r>
  </si>
  <si>
    <t>C0G9B0</t>
  </si>
  <si>
    <r>
      <rPr>
        <sz val="9"/>
        <rFont val="Verdana"/>
        <family val="2"/>
      </rPr>
      <t>和美鎮鹿和路六段</t>
    </r>
    <r>
      <rPr>
        <sz val="9"/>
        <rFont val="Calibri"/>
        <family val="2"/>
      </rPr>
      <t>115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</si>
  <si>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埔里</t>
    </r>
  </si>
  <si>
    <t>C0H890</t>
  </si>
  <si>
    <t>440m</t>
  </si>
  <si>
    <r>
      <rPr>
        <sz val="9"/>
        <rFont val="Verdana"/>
        <family val="2"/>
      </rPr>
      <t>南投縣</t>
    </r>
  </si>
  <si>
    <r>
      <rPr>
        <sz val="9"/>
        <rFont val="Verdana"/>
        <family val="2"/>
      </rPr>
      <t>埔里鎮大城里大城路</t>
    </r>
    <r>
      <rPr>
        <sz val="9"/>
        <rFont val="Calibri"/>
        <family val="2"/>
      </rPr>
      <t>169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南投縣立大成國民中學內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</si>
  <si>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原大肚城</t>
    </r>
    <r>
      <rPr>
        <sz val="9"/>
        <rFont val="Calibri"/>
        <family val="2"/>
      </rPr>
      <t>(C1H890)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2015/9/4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(C0H890)</t>
    </r>
    <r>
      <rPr>
        <sz val="9"/>
        <rFont val="Verdana"/>
        <family val="2"/>
      </rPr>
      <t>站，站名更變為埔里。</t>
    </r>
  </si>
  <si>
    <r>
      <rPr>
        <sz val="9"/>
        <rFont val="Verdana"/>
        <family val="2"/>
      </rPr>
      <t>草屯</t>
    </r>
  </si>
  <si>
    <t>C0H960</t>
  </si>
  <si>
    <r>
      <rPr>
        <sz val="9"/>
        <rFont val="Verdana"/>
        <family val="2"/>
      </rPr>
      <t>草屯鎮中山里草鞋墩</t>
    </r>
    <r>
      <rPr>
        <sz val="9"/>
        <rFont val="Calibri"/>
        <family val="2"/>
      </rPr>
      <t>1</t>
    </r>
    <r>
      <rPr>
        <sz val="9"/>
        <rFont val="Verdana"/>
        <family val="2"/>
      </rPr>
      <t>街</t>
    </r>
    <r>
      <rPr>
        <sz val="9"/>
        <rFont val="Calibri"/>
        <family val="2"/>
      </rPr>
      <t>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草屯鎮公所樓頂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</si>
  <si>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(C1H960)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(C0H960)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</si>
  <si>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昆陽</t>
    </r>
  </si>
  <si>
    <t>C0H990</t>
  </si>
  <si>
    <t>3076m</t>
  </si>
  <si>
    <r>
      <rPr>
        <sz val="9"/>
        <rFont val="Verdana"/>
        <family val="2"/>
      </rPr>
      <t>仁愛鄉昆陽警察局後方下坡處</t>
    </r>
    <r>
      <rPr>
        <sz val="9"/>
        <rFont val="Calibri"/>
        <family val="2"/>
      </rPr>
      <t>(</t>
    </r>
    <r>
      <rPr>
        <sz val="9"/>
        <rFont val="Verdana"/>
        <family val="2"/>
      </rPr>
      <t>太魯閣國家公園</t>
    </r>
    <r>
      <rPr>
        <sz val="9"/>
        <rFont val="Calibri"/>
        <family val="2"/>
      </rPr>
      <t>)</t>
    </r>
    <r>
      <rPr>
        <sz val="9"/>
        <rFont val="Verdana"/>
        <family val="2"/>
      </rPr>
      <t>石碑後</t>
    </r>
    <r>
      <rPr>
        <sz val="9"/>
        <rFont val="Calibri"/>
        <family val="2"/>
      </rPr>
      <t>20</t>
    </r>
    <r>
      <rPr>
        <sz val="9"/>
        <rFont val="Verdana"/>
        <family val="2"/>
      </rPr>
      <t>公尺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</si>
  <si>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2015/8/24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2015/12/31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</si>
  <si>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神木村</t>
    </r>
  </si>
  <si>
    <t>C0H9A0</t>
  </si>
  <si>
    <t>1595m</t>
  </si>
  <si>
    <r>
      <rPr>
        <sz val="9"/>
        <rFont val="Verdana"/>
        <family val="2"/>
      </rPr>
      <t>信義鄉神木村神木工作分站後方山坡上</t>
    </r>
    <r>
      <rPr>
        <sz val="9"/>
        <rFont val="Calibri"/>
        <family val="2"/>
      </rPr>
      <t>(</t>
    </r>
    <r>
      <rPr>
        <sz val="9"/>
        <rFont val="Verdana"/>
        <family val="2"/>
      </rPr>
      <t>對高岳營林區</t>
    </r>
    <r>
      <rPr>
        <sz val="9"/>
        <rFont val="Calibri"/>
        <family val="2"/>
      </rPr>
      <t>29</t>
    </r>
    <r>
      <rPr>
        <sz val="9"/>
        <rFont val="Verdana"/>
        <family val="2"/>
      </rPr>
      <t>林班地</t>
    </r>
    <r>
      <rPr>
        <sz val="9"/>
        <rFont val="Calibri"/>
        <family val="2"/>
      </rPr>
      <t>444</t>
    </r>
    <r>
      <rPr>
        <sz val="9"/>
        <rFont val="Verdana"/>
        <family val="2"/>
      </rPr>
      <t>號土地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</si>
  <si>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2015/9/21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2015/12/31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</si>
  <si>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合歡山</t>
    </r>
  </si>
  <si>
    <t>C0H9C0</t>
  </si>
  <si>
    <t>3402m</t>
  </si>
  <si>
    <r>
      <rPr>
        <sz val="9"/>
        <rFont val="Verdana"/>
        <family val="2"/>
      </rPr>
      <t>仁愛鄉</t>
    </r>
    <r>
      <rPr>
        <sz val="9"/>
        <rFont val="Calibri"/>
        <family val="2"/>
      </rPr>
      <t>(</t>
    </r>
    <r>
      <rPr>
        <sz val="9"/>
        <rFont val="Verdana"/>
        <family val="2"/>
      </rPr>
      <t>近合歡山三角點，由松雪樓開車約</t>
    </r>
    <r>
      <rPr>
        <sz val="9"/>
        <rFont val="Calibri"/>
        <family val="2"/>
      </rPr>
      <t>15</t>
    </r>
    <r>
      <rPr>
        <sz val="9"/>
        <rFont val="Verdana"/>
        <family val="2"/>
      </rPr>
      <t>分鐘，大甲溪事業區第</t>
    </r>
    <r>
      <rPr>
        <sz val="9"/>
        <rFont val="Calibri"/>
        <family val="2"/>
      </rPr>
      <t>81</t>
    </r>
    <r>
      <rPr>
        <sz val="9"/>
        <rFont val="Verdana"/>
        <family val="2"/>
      </rPr>
      <t>林班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</si>
  <si>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(C0F950)</t>
    </r>
    <r>
      <rPr>
        <sz val="9"/>
        <rFont val="Verdana"/>
        <family val="2"/>
      </rPr>
      <t>站因縣市代碼不符，於</t>
    </r>
    <r>
      <rPr>
        <sz val="9"/>
        <rFont val="Calibri"/>
        <family val="2"/>
      </rPr>
      <t>2008/2/25</t>
    </r>
    <r>
      <rPr>
        <sz val="9"/>
        <rFont val="Verdana"/>
        <family val="2"/>
      </rPr>
      <t>重新編碼為</t>
    </r>
    <r>
      <rPr>
        <sz val="9"/>
        <rFont val="Calibri"/>
        <family val="2"/>
      </rPr>
      <t>(C0H9C0)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</si>
  <si>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廬山</t>
    </r>
  </si>
  <si>
    <t>C0I010</t>
  </si>
  <si>
    <t>1562m</t>
  </si>
  <si>
    <r>
      <rPr>
        <sz val="9"/>
        <rFont val="Verdana"/>
        <family val="2"/>
      </rPr>
      <t>仁愛鄉精英村富貴路</t>
    </r>
    <r>
      <rPr>
        <sz val="9"/>
        <rFont val="Calibri"/>
        <family val="2"/>
      </rPr>
      <t>67</t>
    </r>
    <r>
      <rPr>
        <sz val="9"/>
        <rFont val="Verdana"/>
        <family val="2"/>
      </rPr>
      <t>號前方</t>
    </r>
    <r>
      <rPr>
        <sz val="9"/>
        <rFont val="Calibri"/>
        <family val="2"/>
      </rPr>
      <t>200</t>
    </r>
    <r>
      <rPr>
        <sz val="9"/>
        <rFont val="Verdana"/>
        <family val="2"/>
      </rPr>
      <t>公尺</t>
    </r>
    <r>
      <rPr>
        <sz val="9"/>
        <rFont val="Calibri"/>
        <family val="2"/>
      </rPr>
      <t>(</t>
    </r>
    <r>
      <rPr>
        <sz val="9"/>
        <rFont val="Verdana"/>
        <family val="2"/>
      </rPr>
      <t>廬山電力公司瞭望台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</si>
  <si>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2015/7/30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2015/12/31</t>
    </r>
    <r>
      <rPr>
        <sz val="9"/>
        <rFont val="Verdana"/>
        <family val="2"/>
      </rPr>
      <t>完成驗收。</t>
    </r>
  </si>
  <si>
    <t>C0I080</t>
  </si>
  <si>
    <t>536m</t>
  </si>
  <si>
    <r>
      <rPr>
        <sz val="9"/>
        <rFont val="Verdana"/>
        <family val="2"/>
      </rPr>
      <t>信義鄉自強村綠美巷</t>
    </r>
    <r>
      <rPr>
        <sz val="9"/>
        <rFont val="Calibri"/>
        <family val="2"/>
      </rPr>
      <t>(</t>
    </r>
    <r>
      <rPr>
        <sz val="9"/>
        <rFont val="Verdana"/>
        <family val="2"/>
      </rPr>
      <t>內茅埔營林區</t>
    </r>
    <r>
      <rPr>
        <sz val="9"/>
        <rFont val="Calibri"/>
        <family val="2"/>
      </rPr>
      <t>23</t>
    </r>
    <r>
      <rPr>
        <sz val="9"/>
        <rFont val="Verdana"/>
        <family val="2"/>
      </rPr>
      <t>林班地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</si>
  <si>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(C1I080)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2015/9/22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(C0I080)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</si>
  <si>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竹山</t>
    </r>
  </si>
  <si>
    <t>C0I110</t>
  </si>
  <si>
    <t>161m</t>
  </si>
  <si>
    <r>
      <rPr>
        <sz val="9"/>
        <rFont val="Verdana"/>
        <family val="2"/>
      </rPr>
      <t>竹山鎮延和里向學街</t>
    </r>
    <r>
      <rPr>
        <sz val="9"/>
        <rFont val="Calibri"/>
        <family val="2"/>
      </rPr>
      <t>32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竹山國民小學內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</si>
  <si>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水里</t>
    </r>
  </si>
  <si>
    <t>C0I360</t>
  </si>
  <si>
    <r>
      <rPr>
        <sz val="9"/>
        <rFont val="Verdana"/>
        <family val="2"/>
      </rPr>
      <t>水里鄉中山路一段</t>
    </r>
    <r>
      <rPr>
        <sz val="9"/>
        <rFont val="Calibri"/>
        <family val="2"/>
      </rPr>
      <t>515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玉山國家公園管理處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</si>
  <si>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魚池</t>
    </r>
  </si>
  <si>
    <t>C0I370</t>
  </si>
  <si>
    <t>671m</t>
  </si>
  <si>
    <r>
      <rPr>
        <sz val="9"/>
        <rFont val="Verdana"/>
        <family val="2"/>
      </rPr>
      <t>魚池鄉東池村魚池街</t>
    </r>
    <r>
      <rPr>
        <sz val="9"/>
        <rFont val="Calibri"/>
        <family val="2"/>
      </rPr>
      <t>194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魚池鄉衛生所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</si>
  <si>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集集</t>
    </r>
  </si>
  <si>
    <t>C0I380</t>
  </si>
  <si>
    <r>
      <rPr>
        <sz val="9"/>
        <rFont val="Verdana"/>
        <family val="2"/>
      </rPr>
      <t>集集鎮民生東路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農委會特有生物研究保育中心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</si>
  <si>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仁愛</t>
    </r>
  </si>
  <si>
    <t>C0I390</t>
  </si>
  <si>
    <t>1184m</t>
  </si>
  <si>
    <r>
      <rPr>
        <sz val="9"/>
        <rFont val="Verdana"/>
        <family val="2"/>
      </rPr>
      <t>仁愛鄉仁和路</t>
    </r>
    <r>
      <rPr>
        <sz val="9"/>
        <rFont val="Calibri"/>
        <family val="2"/>
      </rPr>
      <t>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台電公司仁愛服務所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</si>
  <si>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名間</t>
    </r>
  </si>
  <si>
    <t>C0I410</t>
  </si>
  <si>
    <t>180m</t>
  </si>
  <si>
    <r>
      <rPr>
        <sz val="9"/>
        <rFont val="Verdana"/>
        <family val="2"/>
      </rPr>
      <t>名間鄉董門巷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名間鄉立體停車場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</si>
  <si>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國姓</t>
    </r>
  </si>
  <si>
    <t>C0I420</t>
  </si>
  <si>
    <t>305m</t>
  </si>
  <si>
    <r>
      <rPr>
        <sz val="9"/>
        <rFont val="Verdana"/>
        <family val="2"/>
      </rPr>
      <t>國姓鄉民族街</t>
    </r>
    <r>
      <rPr>
        <sz val="9"/>
        <rFont val="Calibri"/>
        <family val="2"/>
      </rPr>
      <t>40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國姓鄉老人文康活動中心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</si>
  <si>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南投</t>
    </r>
  </si>
  <si>
    <t>C0I460</t>
  </si>
  <si>
    <r>
      <rPr>
        <sz val="9"/>
        <rFont val="Verdana"/>
        <family val="2"/>
      </rPr>
      <t>南投市龍泉里玉井街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南投市公所樓頂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</si>
  <si>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梅峰</t>
    </r>
  </si>
  <si>
    <t>C0I480</t>
  </si>
  <si>
    <t>2165m</t>
  </si>
  <si>
    <r>
      <rPr>
        <sz val="9"/>
        <rFont val="Verdana"/>
        <family val="2"/>
      </rPr>
      <t>仁愛鄉大同村仁和路</t>
    </r>
    <r>
      <rPr>
        <sz val="9"/>
        <rFont val="Calibri"/>
        <family val="2"/>
      </rPr>
      <t>215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梅峰農場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</si>
  <si>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萬大林道</t>
    </r>
  </si>
  <si>
    <t>C0I490</t>
  </si>
  <si>
    <t>1601m</t>
  </si>
  <si>
    <r>
      <rPr>
        <sz val="9"/>
        <rFont val="Verdana"/>
        <family val="2"/>
      </rPr>
      <t>仁愛鄉曲冰段</t>
    </r>
    <r>
      <rPr>
        <sz val="9"/>
        <rFont val="Calibri"/>
        <family val="2"/>
      </rPr>
      <t>(</t>
    </r>
    <r>
      <rPr>
        <sz val="9"/>
        <rFont val="Verdana"/>
        <family val="2"/>
      </rPr>
      <t>萬大林道約</t>
    </r>
    <r>
      <rPr>
        <sz val="9"/>
        <rFont val="Calibri"/>
        <family val="2"/>
      </rPr>
      <t>7.2k</t>
    </r>
    <r>
      <rPr>
        <sz val="9"/>
        <rFont val="Verdana"/>
        <family val="2"/>
      </rPr>
      <t>附近高地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</si>
  <si>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玉山風口</t>
    </r>
  </si>
  <si>
    <t>C0I520</t>
  </si>
  <si>
    <t>3860m</t>
  </si>
  <si>
    <r>
      <rPr>
        <sz val="9"/>
        <rFont val="Verdana"/>
        <family val="2"/>
      </rPr>
      <t>信義鄉</t>
    </r>
    <r>
      <rPr>
        <sz val="9"/>
        <rFont val="Calibri"/>
        <family val="2"/>
      </rPr>
      <t>(</t>
    </r>
    <r>
      <rPr>
        <sz val="9"/>
        <rFont val="Verdana"/>
        <family val="2"/>
      </rPr>
      <t>玉山主峰往北峰叉路空地附近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</si>
  <si>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小奇萊</t>
    </r>
  </si>
  <si>
    <t>C0I530</t>
  </si>
  <si>
    <t>3014m</t>
  </si>
  <si>
    <r>
      <rPr>
        <sz val="9"/>
        <rFont val="Verdana"/>
        <family val="2"/>
      </rPr>
      <t>仁愛鄉小奇萊步道指標</t>
    </r>
    <r>
      <rPr>
        <sz val="9"/>
        <rFont val="Calibri"/>
        <family val="2"/>
      </rPr>
      <t>1.5K</t>
    </r>
    <r>
      <rPr>
        <sz val="9"/>
        <rFont val="Verdana"/>
        <family val="2"/>
      </rPr>
      <t>處附近</t>
    </r>
  </si>
  <si>
    <r>
      <rPr>
        <sz val="9"/>
        <rFont val="Verdana"/>
        <family val="2"/>
      </rPr>
      <t>奇萊稜線</t>
    </r>
  </si>
  <si>
    <t>C0I540</t>
  </si>
  <si>
    <t>3344m</t>
  </si>
  <si>
    <r>
      <rPr>
        <sz val="9"/>
        <rFont val="Verdana"/>
        <family val="2"/>
      </rPr>
      <t>仁愛鄉奇萊連峰指標</t>
    </r>
    <r>
      <rPr>
        <sz val="9"/>
        <rFont val="Calibri"/>
        <family val="2"/>
      </rPr>
      <t>6.4K</t>
    </r>
    <r>
      <rPr>
        <sz val="9"/>
        <rFont val="Verdana"/>
        <family val="2"/>
      </rPr>
      <t>處</t>
    </r>
    <r>
      <rPr>
        <sz val="9"/>
        <rFont val="Calibri"/>
        <family val="2"/>
      </rPr>
      <t>(</t>
    </r>
    <r>
      <rPr>
        <sz val="9"/>
        <rFont val="Verdana"/>
        <family val="2"/>
      </rPr>
      <t>奇萊山屋附近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</si>
  <si>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宜梧</t>
    </r>
  </si>
  <si>
    <t>C0K291</t>
  </si>
  <si>
    <t>8m</t>
  </si>
  <si>
    <r>
      <rPr>
        <sz val="9"/>
        <rFont val="Verdana"/>
        <family val="2"/>
      </rPr>
      <t>雲林縣</t>
    </r>
  </si>
  <si>
    <r>
      <rPr>
        <sz val="9"/>
        <rFont val="Verdana"/>
        <family val="2"/>
      </rPr>
      <t>口湖鄉湖口村</t>
    </r>
    <r>
      <rPr>
        <sz val="9"/>
        <rFont val="Calibri"/>
        <family val="2"/>
      </rPr>
      <t>170</t>
    </r>
    <r>
      <rPr>
        <sz val="9"/>
        <rFont val="Verdana"/>
        <family val="2"/>
      </rPr>
      <t>號央廣口湖分台內</t>
    </r>
    <r>
      <rPr>
        <sz val="9"/>
        <rFont val="Calibri"/>
        <family val="2"/>
      </rPr>
      <t>(</t>
    </r>
    <r>
      <rPr>
        <sz val="9"/>
        <rFont val="Verdana"/>
        <family val="2"/>
      </rPr>
      <t>憲兵排樓頂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</si>
  <si>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(C0K290)</t>
    </r>
    <r>
      <rPr>
        <sz val="9"/>
        <rFont val="Verdana"/>
        <family val="2"/>
      </rPr>
      <t>站因觀測位置不佳，於</t>
    </r>
    <r>
      <rPr>
        <sz val="9"/>
        <rFont val="Calibri"/>
        <family val="2"/>
      </rPr>
      <t>2010/9/27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(C0K291)</t>
    </r>
    <r>
      <rPr>
        <sz val="9"/>
        <rFont val="Verdana"/>
        <family val="2"/>
      </rPr>
      <t>站。於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遷移至原址鄰近旁建物樓頂並進行儀器汰換。</t>
    </r>
  </si>
  <si>
    <r>
      <rPr>
        <sz val="9"/>
        <rFont val="Verdana"/>
        <family val="2"/>
      </rPr>
      <t>虎尾</t>
    </r>
  </si>
  <si>
    <t>C0K330</t>
  </si>
  <si>
    <r>
      <rPr>
        <sz val="9"/>
        <rFont val="Verdana"/>
        <family val="2"/>
      </rPr>
      <t>虎尾鎮林森路一段</t>
    </r>
    <r>
      <rPr>
        <sz val="9"/>
        <rFont val="Calibri"/>
        <family val="2"/>
      </rPr>
      <t>64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中正國民小學內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</si>
  <si>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2015/5/27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</si>
  <si>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土庫</t>
    </r>
  </si>
  <si>
    <t>C0K390</t>
  </si>
  <si>
    <r>
      <rPr>
        <sz val="9"/>
        <rFont val="Verdana"/>
        <family val="2"/>
      </rPr>
      <t>土庫鎮建國路</t>
    </r>
    <r>
      <rPr>
        <sz val="9"/>
        <rFont val="Calibri"/>
        <family val="2"/>
      </rPr>
      <t>41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土庫消防分隊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</si>
  <si>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斗六</t>
    </r>
  </si>
  <si>
    <t>C0K400</t>
  </si>
  <si>
    <r>
      <rPr>
        <sz val="9"/>
        <rFont val="Verdana"/>
        <family val="2"/>
      </rPr>
      <t>斗六市鎮北路</t>
    </r>
    <r>
      <rPr>
        <sz val="9"/>
        <rFont val="Calibri"/>
        <family val="2"/>
      </rPr>
      <t>345-1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斗六消防分隊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</si>
  <si>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北港</t>
    </r>
  </si>
  <si>
    <t>C0K410</t>
  </si>
  <si>
    <r>
      <rPr>
        <sz val="9"/>
        <rFont val="Verdana"/>
        <family val="2"/>
      </rPr>
      <t>北港鎮大同路</t>
    </r>
    <r>
      <rPr>
        <sz val="9"/>
        <rFont val="Calibri"/>
        <family val="2"/>
      </rPr>
      <t>565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北港消防分隊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</si>
  <si>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西螺</t>
    </r>
  </si>
  <si>
    <t>C0K420</t>
  </si>
  <si>
    <r>
      <rPr>
        <sz val="9"/>
        <rFont val="Verdana"/>
        <family val="2"/>
      </rPr>
      <t>西螺鎮公正路</t>
    </r>
    <r>
      <rPr>
        <sz val="9"/>
        <rFont val="Calibri"/>
        <family val="2"/>
      </rPr>
      <t>211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西螺消防分隊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</si>
  <si>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褒忠</t>
    </r>
  </si>
  <si>
    <t>C0K430</t>
  </si>
  <si>
    <r>
      <rPr>
        <sz val="9"/>
        <rFont val="Verdana"/>
        <family val="2"/>
      </rPr>
      <t>褒忠鄉中正路</t>
    </r>
    <r>
      <rPr>
        <sz val="9"/>
        <rFont val="Calibri"/>
        <family val="2"/>
      </rPr>
      <t>451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褒忠鄉公所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</si>
  <si>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二崙</t>
    </r>
  </si>
  <si>
    <t>C0K440</t>
  </si>
  <si>
    <r>
      <rPr>
        <sz val="9"/>
        <rFont val="Verdana"/>
        <family val="2"/>
      </rPr>
      <t>二崙鄉中正路</t>
    </r>
    <r>
      <rPr>
        <sz val="9"/>
        <rFont val="Calibri"/>
        <family val="2"/>
      </rPr>
      <t>80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二崙消防分隊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</si>
  <si>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大埤</t>
    </r>
  </si>
  <si>
    <t>C0K450</t>
  </si>
  <si>
    <r>
      <rPr>
        <sz val="9"/>
        <rFont val="Verdana"/>
        <family val="2"/>
      </rPr>
      <t>大埤鄉中山路</t>
    </r>
    <r>
      <rPr>
        <sz val="9"/>
        <rFont val="Calibri"/>
        <family val="2"/>
      </rPr>
      <t>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大埤鄉公所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</si>
  <si>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斗南</t>
    </r>
  </si>
  <si>
    <t>C0K460</t>
  </si>
  <si>
    <r>
      <rPr>
        <sz val="9"/>
        <rFont val="Verdana"/>
        <family val="2"/>
      </rPr>
      <t>斗南鎮延平路二段</t>
    </r>
    <r>
      <rPr>
        <sz val="9"/>
        <rFont val="Calibri"/>
        <family val="2"/>
      </rPr>
      <t>266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斗南鎮停一立體停車場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</si>
  <si>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林內</t>
    </r>
  </si>
  <si>
    <t>C0K470</t>
  </si>
  <si>
    <r>
      <rPr>
        <sz val="9"/>
        <rFont val="Verdana"/>
        <family val="2"/>
      </rPr>
      <t>林內鄉中正路</t>
    </r>
    <r>
      <rPr>
        <sz val="9"/>
        <rFont val="Calibri"/>
        <family val="2"/>
      </rPr>
      <t>685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林內消防分隊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</si>
  <si>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莿桐</t>
    </r>
  </si>
  <si>
    <t>C0K480</t>
  </si>
  <si>
    <t>56m</t>
  </si>
  <si>
    <r>
      <rPr>
        <sz val="9"/>
        <rFont val="Verdana"/>
        <family val="2"/>
      </rPr>
      <t>莿桐鄉和平路</t>
    </r>
    <r>
      <rPr>
        <sz val="9"/>
        <rFont val="Calibri"/>
        <family val="2"/>
      </rPr>
      <t>53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莿桐鄉公所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</si>
  <si>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元長</t>
    </r>
  </si>
  <si>
    <t>C0K500</t>
  </si>
  <si>
    <t>12m</t>
  </si>
  <si>
    <r>
      <rPr>
        <sz val="9"/>
        <rFont val="Verdana"/>
        <family val="2"/>
      </rPr>
      <t>元長鄉長南村仁愛街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元長鄉公所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</si>
  <si>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水林</t>
    </r>
  </si>
  <si>
    <t>C0K510</t>
  </si>
  <si>
    <t>10m</t>
  </si>
  <si>
    <r>
      <rPr>
        <sz val="9"/>
        <rFont val="Verdana"/>
        <family val="2"/>
      </rPr>
      <t>水林鄉水北村水林路</t>
    </r>
    <r>
      <rPr>
        <sz val="9"/>
        <rFont val="Calibri"/>
        <family val="2"/>
      </rPr>
      <t>12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水林鄉公所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</si>
  <si>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臺西</t>
    </r>
  </si>
  <si>
    <t>C0K530</t>
  </si>
  <si>
    <r>
      <rPr>
        <sz val="9"/>
        <rFont val="Verdana"/>
        <family val="2"/>
      </rPr>
      <t>台西鄉中山路</t>
    </r>
    <r>
      <rPr>
        <sz val="9"/>
        <rFont val="Calibri"/>
        <family val="2"/>
      </rPr>
      <t>110</t>
    </r>
    <r>
      <rPr>
        <sz val="9"/>
        <rFont val="Verdana"/>
        <family val="2"/>
      </rPr>
      <t>巷</t>
    </r>
    <r>
      <rPr>
        <sz val="9"/>
        <rFont val="Calibri"/>
        <family val="2"/>
      </rPr>
      <t>38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臺西消防分隊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</si>
  <si>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蔦松</t>
    </r>
  </si>
  <si>
    <t>C0K550</t>
  </si>
  <si>
    <r>
      <rPr>
        <sz val="9"/>
        <rFont val="Verdana"/>
        <family val="2"/>
      </rPr>
      <t>水林鄉松中村蔦松路</t>
    </r>
    <r>
      <rPr>
        <sz val="9"/>
        <rFont val="Calibri"/>
        <family val="2"/>
      </rPr>
      <t>213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蔦松國小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</si>
  <si>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棋山</t>
    </r>
  </si>
  <si>
    <t>C0K560</t>
  </si>
  <si>
    <t>117m</t>
  </si>
  <si>
    <r>
      <rPr>
        <sz val="9"/>
        <rFont val="Verdana"/>
        <family val="2"/>
      </rPr>
      <t>古坑鄉棋盤村棋山</t>
    </r>
    <r>
      <rPr>
        <sz val="9"/>
        <rFont val="Calibri"/>
        <family val="2"/>
      </rPr>
      <t>49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棋山國小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</si>
  <si>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高鐵雲林</t>
    </r>
  </si>
  <si>
    <t>C0K580</t>
  </si>
  <si>
    <r>
      <rPr>
        <sz val="9"/>
        <rFont val="Verdana"/>
        <family val="2"/>
      </rPr>
      <t>虎尾鎮站前東路</t>
    </r>
    <r>
      <rPr>
        <sz val="9"/>
        <rFont val="Calibri"/>
        <family val="2"/>
      </rPr>
      <t>301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高鐵雲林站外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</si>
  <si>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雲林東勢</t>
    </r>
  </si>
  <si>
    <t>C0K590</t>
  </si>
  <si>
    <r>
      <rPr>
        <sz val="9"/>
        <rFont val="Verdana"/>
        <family val="2"/>
      </rPr>
      <t>東勢鄉東榮路</t>
    </r>
    <r>
      <rPr>
        <sz val="9"/>
        <rFont val="Calibri"/>
        <family val="2"/>
      </rPr>
      <t>29</t>
    </r>
    <r>
      <rPr>
        <sz val="9"/>
        <rFont val="Verdana"/>
        <family val="2"/>
      </rPr>
      <t>巷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東勢鄉圖書館樓頂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</si>
  <si>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箔子寮</t>
    </r>
  </si>
  <si>
    <t>C0K600</t>
  </si>
  <si>
    <t>14m</t>
  </si>
  <si>
    <r>
      <rPr>
        <sz val="9"/>
        <rFont val="Verdana"/>
        <family val="2"/>
      </rPr>
      <t>口湖鄉漁港路</t>
    </r>
    <r>
      <rPr>
        <sz val="9"/>
        <rFont val="Calibri"/>
        <family val="2"/>
      </rPr>
      <t>370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</si>
  <si>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東後寮</t>
    </r>
  </si>
  <si>
    <t>C0M520</t>
  </si>
  <si>
    <r>
      <rPr>
        <sz val="9"/>
        <rFont val="Verdana"/>
        <family val="2"/>
      </rPr>
      <t>嘉義縣</t>
    </r>
  </si>
  <si>
    <r>
      <rPr>
        <sz val="9"/>
        <rFont val="Verdana"/>
        <family val="2"/>
      </rPr>
      <t>義竹鄉東光村</t>
    </r>
    <r>
      <rPr>
        <sz val="9"/>
        <rFont val="Calibri"/>
        <family val="2"/>
      </rPr>
      <t>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台糖東後寮農場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</si>
  <si>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(C1M520)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(C0M520)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</si>
  <si>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奮起湖</t>
    </r>
  </si>
  <si>
    <t>C0M530</t>
  </si>
  <si>
    <t>1385m</t>
  </si>
  <si>
    <r>
      <rPr>
        <sz val="9"/>
        <rFont val="Verdana"/>
        <family val="2"/>
      </rPr>
      <t>竹崎鄉阿里山事業區</t>
    </r>
    <r>
      <rPr>
        <sz val="9"/>
        <rFont val="Calibri"/>
        <family val="2"/>
      </rPr>
      <t>148</t>
    </r>
    <r>
      <rPr>
        <sz val="9"/>
        <rFont val="Verdana"/>
        <family val="2"/>
      </rPr>
      <t>林班地</t>
    </r>
    <r>
      <rPr>
        <sz val="9"/>
        <rFont val="Calibri"/>
        <family val="2"/>
      </rPr>
      <t>(</t>
    </r>
    <r>
      <rPr>
        <sz val="9"/>
        <rFont val="Verdana"/>
        <family val="2"/>
      </rPr>
      <t>中興苗圃內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</si>
  <si>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2015/7/7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2015/12/31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</si>
  <si>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中埔</t>
    </r>
  </si>
  <si>
    <t>C0M640</t>
  </si>
  <si>
    <r>
      <rPr>
        <sz val="9"/>
        <rFont val="Verdana"/>
        <family val="2"/>
      </rPr>
      <t>中埔鄉中埔村</t>
    </r>
    <r>
      <rPr>
        <sz val="9"/>
        <rFont val="Calibri"/>
        <family val="2"/>
      </rPr>
      <t>128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中埔鄉公所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</si>
  <si>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朴子</t>
    </r>
  </si>
  <si>
    <t>C0M650</t>
  </si>
  <si>
    <r>
      <rPr>
        <sz val="9"/>
        <rFont val="Verdana"/>
        <family val="2"/>
      </rPr>
      <t>朴子市竹村里</t>
    </r>
    <r>
      <rPr>
        <sz val="9"/>
        <rFont val="Calibri"/>
        <family val="2"/>
      </rPr>
      <t>36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竹村國小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</si>
  <si>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溪口</t>
    </r>
  </si>
  <si>
    <t>C0M660</t>
  </si>
  <si>
    <r>
      <rPr>
        <sz val="9"/>
        <rFont val="Verdana"/>
        <family val="2"/>
      </rPr>
      <t>溪口鄉中正東路</t>
    </r>
    <r>
      <rPr>
        <sz val="9"/>
        <rFont val="Calibri"/>
        <family val="2"/>
      </rPr>
      <t>103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溪口國中學生活動中心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</si>
  <si>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大林</t>
    </r>
  </si>
  <si>
    <t>C0M670</t>
  </si>
  <si>
    <r>
      <rPr>
        <sz val="9"/>
        <rFont val="Verdana"/>
        <family val="2"/>
      </rPr>
      <t>大林鎮新興街</t>
    </r>
    <r>
      <rPr>
        <sz val="9"/>
        <rFont val="Calibri"/>
        <family val="2"/>
      </rPr>
      <t>110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大林地政事務所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</si>
  <si>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太保</t>
    </r>
  </si>
  <si>
    <t>C0M680</t>
  </si>
  <si>
    <r>
      <rPr>
        <sz val="9"/>
        <rFont val="Verdana"/>
        <family val="2"/>
      </rPr>
      <t>太保市太保里</t>
    </r>
    <r>
      <rPr>
        <sz val="9"/>
        <rFont val="Calibri"/>
        <family val="2"/>
      </rPr>
      <t>31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太保市圖書館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</si>
  <si>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水上</t>
    </r>
  </si>
  <si>
    <t>C0M690</t>
  </si>
  <si>
    <t>33m</t>
  </si>
  <si>
    <r>
      <rPr>
        <sz val="9"/>
        <rFont val="Verdana"/>
        <family val="2"/>
      </rPr>
      <t>水上鄉三鎮村三鎮路</t>
    </r>
    <r>
      <rPr>
        <sz val="9"/>
        <rFont val="Calibri"/>
        <family val="2"/>
      </rPr>
      <t>119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水上消防分隊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</si>
  <si>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竹崎</t>
    </r>
  </si>
  <si>
    <t>C0M700</t>
  </si>
  <si>
    <t>150m</t>
  </si>
  <si>
    <r>
      <rPr>
        <sz val="9"/>
        <rFont val="Verdana"/>
        <family val="2"/>
      </rPr>
      <t>竹崎鄉竹崎村舊車站</t>
    </r>
    <r>
      <rPr>
        <sz val="9"/>
        <rFont val="Calibri"/>
        <family val="2"/>
      </rPr>
      <t>79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竹崎消防分隊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</si>
  <si>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東石</t>
    </r>
  </si>
  <si>
    <t>C0M710</t>
  </si>
  <si>
    <r>
      <rPr>
        <sz val="9"/>
        <rFont val="Verdana"/>
        <family val="2"/>
      </rPr>
      <t>東石鄉東石村</t>
    </r>
    <r>
      <rPr>
        <sz val="9"/>
        <rFont val="Calibri"/>
        <family val="2"/>
      </rPr>
      <t>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東石鄉公所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</si>
  <si>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番路</t>
    </r>
  </si>
  <si>
    <t>C0M720</t>
  </si>
  <si>
    <t>225m</t>
  </si>
  <si>
    <r>
      <rPr>
        <sz val="9"/>
        <rFont val="Verdana"/>
        <family val="2"/>
      </rPr>
      <t>番路鄉下坑村蔡公店</t>
    </r>
    <r>
      <rPr>
        <sz val="9"/>
        <rFont val="Calibri"/>
        <family val="2"/>
      </rPr>
      <t>101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番路鄉公所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</si>
  <si>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嘉義市東區</t>
    </r>
  </si>
  <si>
    <t>C0M730</t>
  </si>
  <si>
    <r>
      <rPr>
        <sz val="9"/>
        <rFont val="Verdana"/>
        <family val="2"/>
      </rPr>
      <t>嘉義市</t>
    </r>
  </si>
  <si>
    <r>
      <rPr>
        <sz val="9"/>
        <rFont val="Verdana"/>
        <family val="2"/>
      </rPr>
      <t>親水路</t>
    </r>
    <r>
      <rPr>
        <sz val="9"/>
        <rFont val="Calibri"/>
        <family val="2"/>
      </rPr>
      <t xml:space="preserve">123 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第五河川局水情中心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</si>
  <si>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六腳</t>
    </r>
  </si>
  <si>
    <t>C0M740</t>
  </si>
  <si>
    <r>
      <rPr>
        <sz val="9"/>
        <rFont val="Verdana"/>
        <family val="2"/>
      </rPr>
      <t>六腳鄉蒜頭村</t>
    </r>
    <r>
      <rPr>
        <sz val="9"/>
        <rFont val="Calibri"/>
        <family val="2"/>
      </rPr>
      <t>73-2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六腳消防分隊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</si>
  <si>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布袋</t>
    </r>
  </si>
  <si>
    <t>C0M750</t>
  </si>
  <si>
    <r>
      <rPr>
        <sz val="9"/>
        <rFont val="Verdana"/>
        <family val="2"/>
      </rPr>
      <t>布袋鎮龍江里</t>
    </r>
    <r>
      <rPr>
        <sz val="9"/>
        <rFont val="Calibri"/>
        <family val="2"/>
      </rPr>
      <t>2-2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布袋消防分隊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</si>
  <si>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民雄</t>
    </r>
  </si>
  <si>
    <t>C0M760</t>
  </si>
  <si>
    <r>
      <rPr>
        <sz val="9"/>
        <rFont val="Verdana"/>
        <family val="2"/>
      </rPr>
      <t>民雄鄉文化路</t>
    </r>
    <r>
      <rPr>
        <sz val="9"/>
        <rFont val="Calibri"/>
        <family val="2"/>
      </rPr>
      <t>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民雄鄉公所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</si>
  <si>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嘉義梅山</t>
    </r>
  </si>
  <si>
    <t>C0M770</t>
  </si>
  <si>
    <t>164m</t>
  </si>
  <si>
    <r>
      <rPr>
        <sz val="9"/>
        <rFont val="Verdana"/>
        <family val="2"/>
      </rPr>
      <t>梅山鄉中山路</t>
    </r>
    <r>
      <rPr>
        <sz val="9"/>
        <rFont val="Calibri"/>
        <family val="2"/>
      </rPr>
      <t>282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梅山鄉公所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</si>
  <si>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鹿草</t>
    </r>
  </si>
  <si>
    <t>C0M780</t>
  </si>
  <si>
    <r>
      <rPr>
        <sz val="9"/>
        <rFont val="Verdana"/>
        <family val="2"/>
      </rPr>
      <t>鹿草鄉西井村</t>
    </r>
    <r>
      <rPr>
        <sz val="9"/>
        <rFont val="Calibri"/>
        <family val="2"/>
      </rPr>
      <t>287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鹿草鄉公所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</si>
  <si>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新港</t>
    </r>
  </si>
  <si>
    <t>C0M790</t>
  </si>
  <si>
    <r>
      <rPr>
        <sz val="9"/>
        <rFont val="Verdana"/>
        <family val="2"/>
      </rPr>
      <t>新港鄉公園路</t>
    </r>
    <r>
      <rPr>
        <sz val="9"/>
        <rFont val="Calibri"/>
        <family val="2"/>
      </rPr>
      <t>28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新港消防分隊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</si>
  <si>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茶山</t>
    </r>
  </si>
  <si>
    <t>C0M800</t>
  </si>
  <si>
    <r>
      <rPr>
        <sz val="9"/>
        <rFont val="Verdana"/>
        <family val="2"/>
      </rPr>
      <t>阿里山鄉茶山路</t>
    </r>
    <r>
      <rPr>
        <sz val="9"/>
        <rFont val="Calibri"/>
        <family val="2"/>
      </rPr>
      <t>62</t>
    </r>
    <r>
      <rPr>
        <sz val="9"/>
        <rFont val="Verdana"/>
        <family val="2"/>
      </rPr>
      <t>號之</t>
    </r>
    <r>
      <rPr>
        <sz val="9"/>
        <rFont val="Calibri"/>
        <family val="2"/>
      </rPr>
      <t>1(</t>
    </r>
    <r>
      <rPr>
        <sz val="9"/>
        <rFont val="Verdana"/>
        <family val="2"/>
      </rPr>
      <t>茶山村衛生室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</si>
  <si>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里佳</t>
    </r>
  </si>
  <si>
    <t>C0M810</t>
  </si>
  <si>
    <t>1354m</t>
  </si>
  <si>
    <r>
      <rPr>
        <sz val="9"/>
        <rFont val="Verdana"/>
        <family val="2"/>
      </rPr>
      <t>阿里山鄉里佳村</t>
    </r>
  </si>
  <si>
    <r>
      <rPr>
        <sz val="9"/>
        <rFont val="Verdana"/>
        <family val="2"/>
      </rPr>
      <t>達邦</t>
    </r>
  </si>
  <si>
    <t>C0M820</t>
  </si>
  <si>
    <t>980m</t>
  </si>
  <si>
    <r>
      <rPr>
        <sz val="9"/>
        <rFont val="Verdana"/>
        <family val="2"/>
      </rPr>
      <t>阿里山鄉達邦村</t>
    </r>
    <r>
      <rPr>
        <sz val="9"/>
        <rFont val="Calibri"/>
        <family val="2"/>
      </rPr>
      <t>21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鄒族自然與文化中心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</si>
  <si>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表湖</t>
    </r>
  </si>
  <si>
    <t>C0M850</t>
  </si>
  <si>
    <t>695m</t>
  </si>
  <si>
    <r>
      <rPr>
        <sz val="9"/>
        <rFont val="Verdana"/>
        <family val="2"/>
      </rPr>
      <t>大埔鄉溪頭段</t>
    </r>
    <r>
      <rPr>
        <sz val="9"/>
        <rFont val="Calibri"/>
        <family val="2"/>
      </rPr>
      <t>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</si>
  <si>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新美</t>
    </r>
  </si>
  <si>
    <t>C0M860</t>
  </si>
  <si>
    <t>578m</t>
  </si>
  <si>
    <r>
      <rPr>
        <sz val="9"/>
        <rFont val="Verdana"/>
        <family val="2"/>
      </rPr>
      <t>阿里山鄉新美村</t>
    </r>
    <r>
      <rPr>
        <sz val="9"/>
        <rFont val="Calibri"/>
        <family val="2"/>
      </rPr>
      <t>78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</si>
  <si>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好美里</t>
    </r>
  </si>
  <si>
    <t>C0M880</t>
  </si>
  <si>
    <r>
      <rPr>
        <sz val="9"/>
        <rFont val="Verdana"/>
        <family val="2"/>
      </rPr>
      <t>布袋鎮好美里</t>
    </r>
    <r>
      <rPr>
        <sz val="9"/>
        <rFont val="Calibri"/>
        <family val="2"/>
      </rPr>
      <t>106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</si>
  <si>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鯤鯓國小</t>
    </r>
  </si>
  <si>
    <t>C0N010</t>
  </si>
  <si>
    <r>
      <rPr>
        <sz val="9"/>
        <rFont val="Verdana"/>
        <family val="2"/>
      </rPr>
      <t>臺南市</t>
    </r>
  </si>
  <si>
    <r>
      <rPr>
        <sz val="9"/>
        <rFont val="Verdana"/>
        <family val="2"/>
      </rPr>
      <t>將軍區</t>
    </r>
    <r>
      <rPr>
        <sz val="9"/>
        <rFont val="Calibri"/>
        <family val="2"/>
      </rPr>
      <t>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</si>
  <si>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城西</t>
    </r>
  </si>
  <si>
    <t>C0N020</t>
  </si>
  <si>
    <r>
      <rPr>
        <sz val="9"/>
        <rFont val="Verdana"/>
        <family val="2"/>
      </rPr>
      <t>安南區城西街三段</t>
    </r>
    <r>
      <rPr>
        <sz val="9"/>
        <rFont val="Calibri"/>
        <family val="2"/>
      </rPr>
      <t>431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</si>
  <si>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四草</t>
    </r>
  </si>
  <si>
    <t>C0N030</t>
  </si>
  <si>
    <t>2m</t>
  </si>
  <si>
    <r>
      <rPr>
        <sz val="9"/>
        <rFont val="Verdana"/>
        <family val="2"/>
      </rPr>
      <t>安南區</t>
    </r>
  </si>
  <si>
    <r>
      <rPr>
        <sz val="9"/>
        <rFont val="Verdana"/>
        <family val="2"/>
      </rPr>
      <t>蘆竹溝</t>
    </r>
  </si>
  <si>
    <t>C0N040</t>
  </si>
  <si>
    <r>
      <rPr>
        <sz val="9"/>
        <rFont val="Verdana"/>
        <family val="2"/>
      </rPr>
      <t>北門區蘆竹溝</t>
    </r>
    <r>
      <rPr>
        <sz val="9"/>
        <rFont val="Calibri"/>
        <family val="2"/>
      </rPr>
      <t>333</t>
    </r>
    <r>
      <rPr>
        <sz val="9"/>
        <rFont val="Verdana"/>
        <family val="2"/>
      </rPr>
      <t>之</t>
    </r>
    <r>
      <rPr>
        <sz val="9"/>
        <rFont val="Calibri"/>
        <family val="2"/>
      </rPr>
      <t>11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</si>
  <si>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蚵寮</t>
    </r>
  </si>
  <si>
    <t>C0N050</t>
  </si>
  <si>
    <r>
      <rPr>
        <sz val="9"/>
        <rFont val="Verdana"/>
        <family val="2"/>
      </rPr>
      <t>北門區保吉里雙春里</t>
    </r>
    <r>
      <rPr>
        <sz val="9"/>
        <rFont val="Calibri"/>
        <family val="2"/>
      </rPr>
      <t>8</t>
    </r>
    <r>
      <rPr>
        <sz val="9"/>
        <rFont val="Verdana"/>
        <family val="2"/>
      </rPr>
      <t>鄰</t>
    </r>
    <r>
      <rPr>
        <sz val="9"/>
        <rFont val="Calibri"/>
        <family val="2"/>
      </rPr>
      <t>73-20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</si>
  <si>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北寮</t>
    </r>
  </si>
  <si>
    <t>C0O830</t>
  </si>
  <si>
    <t>127m</t>
  </si>
  <si>
    <r>
      <rPr>
        <sz val="9"/>
        <rFont val="Verdana"/>
        <family val="2"/>
      </rPr>
      <t>南化區北寮里</t>
    </r>
    <r>
      <rPr>
        <sz val="9"/>
        <rFont val="Calibri"/>
        <family val="2"/>
      </rPr>
      <t>48-4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</si>
  <si>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(C1O830)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2013/4/18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(C0O830)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</si>
  <si>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王爺宮</t>
    </r>
  </si>
  <si>
    <t>C0O840</t>
  </si>
  <si>
    <t>134m</t>
  </si>
  <si>
    <r>
      <rPr>
        <sz val="9"/>
        <rFont val="Verdana"/>
        <family val="2"/>
      </rPr>
      <t>六甲區王爺里</t>
    </r>
    <r>
      <rPr>
        <sz val="9"/>
        <rFont val="Calibri"/>
        <family val="2"/>
      </rPr>
      <t>24</t>
    </r>
    <r>
      <rPr>
        <sz val="9"/>
        <rFont val="Verdana"/>
        <family val="2"/>
      </rPr>
      <t>號（六甲國小湖東分校）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</si>
  <si>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(C1O840)</t>
    </r>
    <r>
      <rPr>
        <sz val="9"/>
        <rFont val="Verdana"/>
        <family val="2"/>
      </rPr>
      <t>站因觀測條件不佳及擴充為氣象站，於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(C0O840)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</si>
  <si>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大內</t>
    </r>
  </si>
  <si>
    <t>C0O860</t>
  </si>
  <si>
    <r>
      <rPr>
        <sz val="9"/>
        <rFont val="Verdana"/>
        <family val="2"/>
      </rPr>
      <t>大內區</t>
    </r>
    <r>
      <rPr>
        <sz val="9"/>
        <rFont val="Calibri"/>
        <family val="2"/>
      </rPr>
      <t>74201</t>
    </r>
    <r>
      <rPr>
        <sz val="9"/>
        <rFont val="Verdana"/>
        <family val="2"/>
      </rPr>
      <t>大內里</t>
    </r>
    <r>
      <rPr>
        <sz val="9"/>
        <rFont val="Calibri"/>
        <family val="2"/>
      </rPr>
      <t>63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大內國民小學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</si>
  <si>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(C1O860)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(C0O860)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</si>
  <si>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善化</t>
    </r>
  </si>
  <si>
    <t>C0O900</t>
  </si>
  <si>
    <t>9m</t>
  </si>
  <si>
    <r>
      <rPr>
        <sz val="9"/>
        <rFont val="Verdana"/>
        <family val="2"/>
      </rPr>
      <t>善化區益民寮</t>
    </r>
    <r>
      <rPr>
        <sz val="9"/>
        <rFont val="Calibri"/>
        <family val="2"/>
      </rPr>
      <t>60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亞洲蔬菜研究發展中心內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</si>
  <si>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 xml:space="preserve"> 2013/5/11 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</si>
  <si>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崎頂</t>
    </r>
  </si>
  <si>
    <t>C0O960</t>
  </si>
  <si>
    <t>112m</t>
  </si>
  <si>
    <r>
      <rPr>
        <sz val="9"/>
        <rFont val="Verdana"/>
        <family val="2"/>
      </rPr>
      <t>龍崎區中坑里</t>
    </r>
    <r>
      <rPr>
        <sz val="9"/>
        <rFont val="Calibri"/>
        <family val="2"/>
      </rPr>
      <t>5</t>
    </r>
    <r>
      <rPr>
        <sz val="9"/>
        <rFont val="Verdana"/>
        <family val="2"/>
      </rPr>
      <t>鄰</t>
    </r>
    <r>
      <rPr>
        <sz val="9"/>
        <rFont val="Calibri"/>
        <family val="2"/>
      </rPr>
      <t>13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</si>
  <si>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(C1O960)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2013/4/18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(C0O960)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</si>
  <si>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虎頭埤</t>
    </r>
  </si>
  <si>
    <t>C0O970</t>
  </si>
  <si>
    <r>
      <rPr>
        <sz val="9"/>
        <rFont val="Verdana"/>
        <family val="2"/>
      </rPr>
      <t>新化區口埤</t>
    </r>
    <r>
      <rPr>
        <sz val="9"/>
        <rFont val="Calibri"/>
        <family val="2"/>
      </rPr>
      <t>18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新化分場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</si>
  <si>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(C1O970)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(C0O970)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</si>
  <si>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新市</t>
    </r>
  </si>
  <si>
    <t>C0O980</t>
  </si>
  <si>
    <r>
      <rPr>
        <sz val="9"/>
        <rFont val="Verdana"/>
        <family val="2"/>
      </rPr>
      <t>新市區永就里</t>
    </r>
    <r>
      <rPr>
        <sz val="9"/>
        <rFont val="Calibri"/>
        <family val="2"/>
      </rPr>
      <t>53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番子寮農場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</si>
  <si>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(C1O980)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(C0O980)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</si>
  <si>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媽廟</t>
    </r>
  </si>
  <si>
    <t>C0O990</t>
  </si>
  <si>
    <r>
      <rPr>
        <sz val="9"/>
        <rFont val="Verdana"/>
        <family val="2"/>
      </rPr>
      <t>歸仁區中正北路</t>
    </r>
    <r>
      <rPr>
        <sz val="9"/>
        <rFont val="Calibri"/>
        <family val="2"/>
      </rPr>
      <t>3</t>
    </r>
    <r>
      <rPr>
        <sz val="9"/>
        <rFont val="Verdana"/>
        <family val="2"/>
      </rPr>
      <t>段</t>
    </r>
    <r>
      <rPr>
        <sz val="9"/>
        <rFont val="Calibri"/>
        <family val="2"/>
      </rPr>
      <t>60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保西國民小學內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</si>
  <si>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(C1O990)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(C0O990)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</si>
  <si>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尾寮山</t>
    </r>
  </si>
  <si>
    <t>C0R100</t>
  </si>
  <si>
    <t>1006m</t>
  </si>
  <si>
    <r>
      <rPr>
        <sz val="9"/>
        <rFont val="Verdana"/>
        <family val="2"/>
      </rPr>
      <t>屏東縣</t>
    </r>
  </si>
  <si>
    <r>
      <rPr>
        <sz val="9"/>
        <rFont val="Verdana"/>
        <family val="2"/>
      </rPr>
      <t>三地門鄉口社檢查站車程約</t>
    </r>
    <r>
      <rPr>
        <sz val="9"/>
        <rFont val="Calibri"/>
        <family val="2"/>
      </rPr>
      <t>2</t>
    </r>
    <r>
      <rPr>
        <sz val="9"/>
        <rFont val="Verdana"/>
        <family val="2"/>
      </rPr>
      <t>小時</t>
    </r>
    <r>
      <rPr>
        <sz val="9"/>
        <rFont val="Calibri"/>
        <family val="2"/>
      </rPr>
      <t>(</t>
    </r>
    <r>
      <rPr>
        <sz val="9"/>
        <rFont val="Verdana"/>
        <family val="2"/>
      </rPr>
      <t>尾寮山瞭望台旁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</si>
  <si>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2013/10/10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</si>
  <si>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阿禮</t>
    </r>
  </si>
  <si>
    <t>C0R130</t>
  </si>
  <si>
    <t>1040m</t>
  </si>
  <si>
    <r>
      <rPr>
        <sz val="9"/>
        <rFont val="Verdana"/>
        <family val="2"/>
      </rPr>
      <t>霧台鄉</t>
    </r>
    <r>
      <rPr>
        <sz val="9"/>
        <rFont val="Calibri"/>
        <family val="2"/>
      </rPr>
      <t>(</t>
    </r>
    <r>
      <rPr>
        <sz val="9"/>
        <rFont val="Verdana"/>
        <family val="2"/>
      </rPr>
      <t>屏東事業區第</t>
    </r>
    <r>
      <rPr>
        <sz val="9"/>
        <rFont val="Calibri"/>
        <family val="2"/>
      </rPr>
      <t>46</t>
    </r>
    <r>
      <rPr>
        <sz val="9"/>
        <rFont val="Verdana"/>
        <family val="2"/>
      </rPr>
      <t>林班</t>
    </r>
    <r>
      <rPr>
        <sz val="9"/>
        <rFont val="Calibri"/>
        <family val="2"/>
      </rPr>
      <t>)</t>
    </r>
    <r>
      <rPr>
        <sz val="9"/>
        <rFont val="Verdana"/>
        <family val="2"/>
      </rPr>
      <t>由山地文化村開車約</t>
    </r>
    <r>
      <rPr>
        <sz val="9"/>
        <rFont val="Calibri"/>
        <family val="2"/>
      </rPr>
      <t>2</t>
    </r>
    <r>
      <rPr>
        <sz val="9"/>
        <rFont val="Verdana"/>
        <family val="2"/>
      </rPr>
      <t>小時需徒步轉波站前面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</si>
  <si>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(C1R130)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(C0R130)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</si>
  <si>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瑪家</t>
    </r>
  </si>
  <si>
    <t>C0R140</t>
  </si>
  <si>
    <t>740m</t>
  </si>
  <si>
    <r>
      <rPr>
        <sz val="9"/>
        <rFont val="Verdana"/>
        <family val="2"/>
      </rPr>
      <t>瑪家鄉瑪家村</t>
    </r>
    <r>
      <rPr>
        <sz val="9"/>
        <rFont val="Calibri"/>
        <family val="2"/>
      </rPr>
      <t>4</t>
    </r>
    <r>
      <rPr>
        <sz val="9"/>
        <rFont val="Verdana"/>
        <family val="2"/>
      </rPr>
      <t>鄰</t>
    </r>
    <r>
      <rPr>
        <sz val="9"/>
        <rFont val="Calibri"/>
        <family val="2"/>
      </rPr>
      <t>24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後山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</si>
  <si>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(C1R140)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(C0R140)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</si>
  <si>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三地門</t>
    </r>
  </si>
  <si>
    <t>C0R150</t>
  </si>
  <si>
    <r>
      <rPr>
        <sz val="9"/>
        <rFont val="Verdana"/>
        <family val="2"/>
      </rPr>
      <t>內埔鄉水門村成功路</t>
    </r>
    <r>
      <rPr>
        <sz val="9"/>
        <rFont val="Calibri"/>
        <family val="2"/>
      </rPr>
      <t>83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國立內埔高級農工職業學校內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</si>
  <si>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2013/9/10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</si>
  <si>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鹽埔</t>
    </r>
  </si>
  <si>
    <t>C0R160</t>
  </si>
  <si>
    <r>
      <rPr>
        <sz val="9"/>
        <rFont val="Verdana"/>
        <family val="2"/>
      </rPr>
      <t>鹽埔鄉七份路</t>
    </r>
    <r>
      <rPr>
        <sz val="9"/>
        <rFont val="Calibri"/>
        <family val="2"/>
      </rPr>
      <t>21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彭厝國小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</si>
  <si>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(C1R160)</t>
    </r>
    <r>
      <rPr>
        <sz val="9"/>
        <rFont val="Verdana"/>
        <family val="2"/>
      </rPr>
      <t>站於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(C0R160)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</si>
  <si>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赤山</t>
    </r>
  </si>
  <si>
    <t>C0R190</t>
  </si>
  <si>
    <r>
      <rPr>
        <sz val="9"/>
        <rFont val="Verdana"/>
        <family val="2"/>
      </rPr>
      <t>萬巒鄉建興路</t>
    </r>
    <r>
      <rPr>
        <sz val="9"/>
        <rFont val="Calibri"/>
        <family val="2"/>
      </rPr>
      <t>40</t>
    </r>
    <r>
      <rPr>
        <sz val="9"/>
        <rFont val="Verdana"/>
        <family val="2"/>
      </rPr>
      <t>號（赤山國小）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</si>
  <si>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(C1R190)</t>
    </r>
    <r>
      <rPr>
        <sz val="9"/>
        <rFont val="Verdana"/>
        <family val="2"/>
      </rPr>
      <t>站因觀測環境不佳，於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遷移至</t>
    </r>
    <r>
      <rPr>
        <sz val="9"/>
        <rFont val="Calibri"/>
        <family val="2"/>
      </rPr>
      <t>(C0R190)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</si>
  <si>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潮州</t>
    </r>
  </si>
  <si>
    <t>C0R220</t>
  </si>
  <si>
    <r>
      <rPr>
        <sz val="9"/>
        <rFont val="Verdana"/>
        <family val="2"/>
      </rPr>
      <t>潮州鎮光春路</t>
    </r>
    <r>
      <rPr>
        <sz val="9"/>
        <rFont val="Calibri"/>
        <family val="2"/>
      </rPr>
      <t>290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屏東縣立光春國民中學內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</si>
  <si>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春日</t>
    </r>
  </si>
  <si>
    <t>C0R260</t>
  </si>
  <si>
    <r>
      <rPr>
        <sz val="9"/>
        <rFont val="Verdana"/>
        <family val="2"/>
      </rPr>
      <t>春日鄉鄉公所資源回收場旁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</si>
  <si>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(C1R260)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(C0R260)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</si>
  <si>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琉球嶼</t>
    </r>
  </si>
  <si>
    <t>C0R270</t>
  </si>
  <si>
    <t>51m</t>
  </si>
  <si>
    <r>
      <rPr>
        <sz val="9"/>
        <rFont val="Verdana"/>
        <family val="2"/>
      </rPr>
      <t>琉球鄉天台段</t>
    </r>
    <r>
      <rPr>
        <sz val="9"/>
        <rFont val="Calibri"/>
        <family val="2"/>
      </rPr>
      <t>596</t>
    </r>
    <r>
      <rPr>
        <sz val="9"/>
        <rFont val="Verdana"/>
        <family val="2"/>
      </rPr>
      <t>及</t>
    </r>
    <r>
      <rPr>
        <sz val="9"/>
        <rFont val="Calibri"/>
        <family val="2"/>
      </rPr>
      <t>597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</si>
  <si>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2013/9/26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</si>
  <si>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檳榔</t>
    </r>
  </si>
  <si>
    <t>C0R280</t>
  </si>
  <si>
    <t>242m</t>
  </si>
  <si>
    <r>
      <rPr>
        <sz val="9"/>
        <rFont val="Verdana"/>
        <family val="2"/>
      </rPr>
      <t>滿州鄉長樂村大公路</t>
    </r>
    <r>
      <rPr>
        <sz val="9"/>
        <rFont val="Calibri"/>
        <family val="2"/>
      </rPr>
      <t>14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往南仁山方向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</si>
  <si>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2019/09/19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2019/11/28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</si>
  <si>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車城</t>
    </r>
  </si>
  <si>
    <t>C0R320</t>
  </si>
  <si>
    <t>7m</t>
  </si>
  <si>
    <r>
      <rPr>
        <sz val="9"/>
        <rFont val="Verdana"/>
        <family val="2"/>
      </rPr>
      <t>車城鄉福興村中山路</t>
    </r>
    <r>
      <rPr>
        <sz val="9"/>
        <rFont val="Calibri"/>
        <family val="2"/>
      </rPr>
      <t>66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車城國小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</si>
  <si>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因擴充氣象站，原氣象站</t>
    </r>
    <r>
      <rPr>
        <sz val="9"/>
        <rFont val="Calibri"/>
        <family val="2"/>
      </rPr>
      <t>(C1R320)</t>
    </r>
    <r>
      <rPr>
        <sz val="9"/>
        <rFont val="Verdana"/>
        <family val="2"/>
      </rPr>
      <t>，於</t>
    </r>
    <r>
      <rPr>
        <sz val="9"/>
        <rFont val="Calibri"/>
        <family val="2"/>
      </rPr>
      <t>2019/11/28</t>
    </r>
    <r>
      <rPr>
        <sz val="9"/>
        <rFont val="Verdana"/>
        <family val="2"/>
      </rPr>
      <t>升級為氣象站，變更站碼為</t>
    </r>
    <r>
      <rPr>
        <sz val="9"/>
        <rFont val="Calibri"/>
        <family val="2"/>
      </rPr>
      <t>(C0R320)</t>
    </r>
    <r>
      <rPr>
        <sz val="9"/>
        <rFont val="Verdana"/>
        <family val="2"/>
      </rPr>
      <t>。</t>
    </r>
  </si>
  <si>
    <r>
      <rPr>
        <sz val="9"/>
        <rFont val="Verdana"/>
        <family val="2"/>
      </rPr>
      <t>牡丹</t>
    </r>
  </si>
  <si>
    <t>C0R341</t>
  </si>
  <si>
    <r>
      <t>199</t>
    </r>
    <r>
      <rPr>
        <sz val="9"/>
        <rFont val="Verdana"/>
        <family val="2"/>
      </rPr>
      <t>縣道</t>
    </r>
    <r>
      <rPr>
        <sz val="9"/>
        <rFont val="Calibri"/>
        <family val="2"/>
      </rPr>
      <t>23K-23.5K</t>
    </r>
    <r>
      <rPr>
        <sz val="9"/>
        <rFont val="Verdana"/>
        <family val="2"/>
      </rPr>
      <t>間車城往旭海方向之右側</t>
    </r>
  </si>
  <si>
    <r>
      <rPr>
        <sz val="9"/>
        <rFont val="Verdana"/>
        <family val="2"/>
      </rPr>
      <t>因擴充氣象站，原氣象站</t>
    </r>
    <r>
      <rPr>
        <sz val="9"/>
        <rFont val="Calibri"/>
        <family val="2"/>
      </rPr>
      <t>(C1R340)</t>
    </r>
    <r>
      <rPr>
        <sz val="9"/>
        <rFont val="Verdana"/>
        <family val="2"/>
      </rPr>
      <t>，於</t>
    </r>
    <r>
      <rPr>
        <sz val="9"/>
        <rFont val="Calibri"/>
        <family val="2"/>
      </rPr>
      <t>2019/11/28</t>
    </r>
    <r>
      <rPr>
        <sz val="9"/>
        <rFont val="Verdana"/>
        <family val="2"/>
      </rPr>
      <t>升級為氣象站，變更站碼為</t>
    </r>
    <r>
      <rPr>
        <sz val="9"/>
        <rFont val="Calibri"/>
        <family val="2"/>
      </rPr>
      <t>(C0R341)</t>
    </r>
    <r>
      <rPr>
        <sz val="9"/>
        <rFont val="Verdana"/>
        <family val="2"/>
      </rPr>
      <t>。</t>
    </r>
  </si>
  <si>
    <r>
      <rPr>
        <sz val="9"/>
        <rFont val="Verdana"/>
        <family val="2"/>
      </rPr>
      <t>貓鼻頭</t>
    </r>
  </si>
  <si>
    <t>C0R350</t>
  </si>
  <si>
    <r>
      <rPr>
        <sz val="9"/>
        <rFont val="Verdana"/>
        <family val="2"/>
      </rPr>
      <t>恆春鎮</t>
    </r>
    <r>
      <rPr>
        <sz val="9"/>
        <rFont val="Calibri"/>
        <family val="2"/>
      </rPr>
      <t>(</t>
    </r>
    <r>
      <rPr>
        <sz val="9"/>
        <rFont val="Verdana"/>
        <family val="2"/>
      </rPr>
      <t>貓鼻頭風景區內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</si>
  <si>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2019/08/30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2019/11/28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</si>
  <si>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大漢山</t>
    </r>
  </si>
  <si>
    <t>C0R440</t>
  </si>
  <si>
    <t>1654m</t>
  </si>
  <si>
    <r>
      <rPr>
        <sz val="9"/>
        <rFont val="Verdana"/>
        <family val="2"/>
      </rPr>
      <t>春日鄉大漢山頂</t>
    </r>
  </si>
  <si>
    <r>
      <rPr>
        <sz val="9"/>
        <rFont val="Verdana"/>
        <family val="2"/>
      </rPr>
      <t>因擴充氣象站，原氣象站</t>
    </r>
    <r>
      <rPr>
        <sz val="9"/>
        <rFont val="Calibri"/>
        <family val="2"/>
      </rPr>
      <t>(C1R440)</t>
    </r>
    <r>
      <rPr>
        <sz val="9"/>
        <rFont val="Verdana"/>
        <family val="2"/>
      </rPr>
      <t>，於</t>
    </r>
    <r>
      <rPr>
        <sz val="9"/>
        <rFont val="Calibri"/>
        <family val="2"/>
      </rPr>
      <t>2019/11/28</t>
    </r>
    <r>
      <rPr>
        <sz val="9"/>
        <rFont val="Verdana"/>
        <family val="2"/>
      </rPr>
      <t>升級為氣象站，變更站碼為</t>
    </r>
    <r>
      <rPr>
        <sz val="9"/>
        <rFont val="Calibri"/>
        <family val="2"/>
      </rPr>
      <t>(C0R440)</t>
    </r>
    <r>
      <rPr>
        <sz val="9"/>
        <rFont val="Verdana"/>
        <family val="2"/>
      </rPr>
      <t>。</t>
    </r>
  </si>
  <si>
    <r>
      <rPr>
        <sz val="9"/>
        <rFont val="Verdana"/>
        <family val="2"/>
      </rPr>
      <t>高樹</t>
    </r>
  </si>
  <si>
    <t>C0R470</t>
  </si>
  <si>
    <t>103m</t>
  </si>
  <si>
    <r>
      <rPr>
        <sz val="9"/>
        <rFont val="Verdana"/>
        <family val="2"/>
      </rPr>
      <t>高樹鄉興中路</t>
    </r>
    <r>
      <rPr>
        <sz val="9"/>
        <rFont val="Calibri"/>
        <family val="2"/>
      </rPr>
      <t>330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高樹圖書館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</si>
  <si>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長治</t>
    </r>
  </si>
  <si>
    <t>C0R480</t>
  </si>
  <si>
    <t>57m</t>
  </si>
  <si>
    <r>
      <rPr>
        <sz val="9"/>
        <rFont val="Verdana"/>
        <family val="2"/>
      </rPr>
      <t>長治鄉德成村中興路</t>
    </r>
    <r>
      <rPr>
        <sz val="9"/>
        <rFont val="Calibri"/>
        <family val="2"/>
      </rPr>
      <t>572-1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長治消防分隊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</si>
  <si>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九如</t>
    </r>
  </si>
  <si>
    <t>C0R490</t>
  </si>
  <si>
    <r>
      <rPr>
        <sz val="9"/>
        <rFont val="Verdana"/>
        <family val="2"/>
      </rPr>
      <t>九如鄉九如路二段</t>
    </r>
    <r>
      <rPr>
        <sz val="9"/>
        <rFont val="Calibri"/>
        <family val="2"/>
      </rPr>
      <t>416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九如鄉公所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</si>
  <si>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崁頂</t>
    </r>
  </si>
  <si>
    <t>C0R520</t>
  </si>
  <si>
    <r>
      <rPr>
        <sz val="9"/>
        <rFont val="Verdana"/>
        <family val="2"/>
      </rPr>
      <t>崁頂鄉崁頂村興農路</t>
    </r>
    <r>
      <rPr>
        <sz val="9"/>
        <rFont val="Calibri"/>
        <family val="2"/>
      </rPr>
      <t>29-10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崁頂消防分隊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</si>
  <si>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佳冬</t>
    </r>
  </si>
  <si>
    <t>C0R540</t>
  </si>
  <si>
    <t>17m</t>
  </si>
  <si>
    <r>
      <rPr>
        <sz val="9"/>
        <rFont val="Verdana"/>
        <family val="2"/>
      </rPr>
      <t>佳冬鄉佳昌路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佳冬鄉公所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</si>
  <si>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新埤</t>
    </r>
  </si>
  <si>
    <t>C0R550</t>
  </si>
  <si>
    <r>
      <rPr>
        <sz val="9"/>
        <rFont val="Verdana"/>
        <family val="2"/>
      </rPr>
      <t>新埤鄉民眾路</t>
    </r>
    <r>
      <rPr>
        <sz val="9"/>
        <rFont val="Calibri"/>
        <family val="2"/>
      </rPr>
      <t>103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新埤消防分隊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</si>
  <si>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新園</t>
    </r>
  </si>
  <si>
    <t>C0R560</t>
  </si>
  <si>
    <r>
      <rPr>
        <sz val="9"/>
        <rFont val="Verdana"/>
        <family val="2"/>
      </rPr>
      <t>新園鄉仙吉村店口路</t>
    </r>
    <r>
      <rPr>
        <sz val="9"/>
        <rFont val="Calibri"/>
        <family val="2"/>
      </rPr>
      <t>116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新園消防分隊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</si>
  <si>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麟洛</t>
    </r>
  </si>
  <si>
    <t>C0R570</t>
  </si>
  <si>
    <r>
      <rPr>
        <sz val="9"/>
        <rFont val="Verdana"/>
        <family val="2"/>
      </rPr>
      <t>麟洛鄉中山路</t>
    </r>
    <r>
      <rPr>
        <sz val="9"/>
        <rFont val="Calibri"/>
        <family val="2"/>
      </rPr>
      <t>158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麟洛鄉公所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</si>
  <si>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南州</t>
    </r>
  </si>
  <si>
    <t>C0R580</t>
  </si>
  <si>
    <r>
      <rPr>
        <sz val="9"/>
        <rFont val="Verdana"/>
        <family val="2"/>
      </rPr>
      <t>南州鄉溪南村人和路</t>
    </r>
    <r>
      <rPr>
        <sz val="9"/>
        <rFont val="Calibri"/>
        <family val="2"/>
      </rPr>
      <t>241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南州消防分隊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</si>
  <si>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里港</t>
    </r>
  </si>
  <si>
    <t>C0R590</t>
  </si>
  <si>
    <r>
      <rPr>
        <sz val="9"/>
        <rFont val="Verdana"/>
        <family val="2"/>
      </rPr>
      <t>里港鄉永春村中山路</t>
    </r>
    <r>
      <rPr>
        <sz val="9"/>
        <rFont val="Calibri"/>
        <family val="2"/>
      </rPr>
      <t>104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里港鄉公所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</si>
  <si>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舊泰武</t>
    </r>
  </si>
  <si>
    <t>C0R600</t>
  </si>
  <si>
    <t>766m</t>
  </si>
  <si>
    <r>
      <rPr>
        <sz val="9"/>
        <rFont val="Verdana"/>
        <family val="2"/>
      </rPr>
      <t>泰武鄉泰武村良武巷</t>
    </r>
    <r>
      <rPr>
        <sz val="9"/>
        <rFont val="Calibri"/>
        <family val="2"/>
      </rPr>
      <t>101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舊泰武村老人活動中心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</si>
  <si>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墾雷</t>
    </r>
  </si>
  <si>
    <t>C0R620</t>
  </si>
  <si>
    <r>
      <rPr>
        <sz val="9"/>
        <rFont val="Verdana"/>
        <family val="2"/>
      </rPr>
      <t>恆春鎮燈塔路</t>
    </r>
    <r>
      <rPr>
        <sz val="9"/>
        <rFont val="Calibri"/>
        <family val="2"/>
      </rPr>
      <t>51</t>
    </r>
    <r>
      <rPr>
        <sz val="9"/>
        <rFont val="Verdana"/>
        <family val="2"/>
      </rPr>
      <t>巷</t>
    </r>
    <r>
      <rPr>
        <sz val="9"/>
        <rFont val="Calibri"/>
        <family val="2"/>
      </rPr>
      <t>33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氣象署墾丁雷達站區內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</si>
  <si>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2019/08/31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2019/11/28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</si>
  <si>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東港</t>
    </r>
  </si>
  <si>
    <t>C0R640</t>
  </si>
  <si>
    <r>
      <rPr>
        <sz val="9"/>
        <rFont val="Verdana"/>
        <family val="2"/>
      </rPr>
      <t>東港鎮豐漁里豐漁街</t>
    </r>
    <r>
      <rPr>
        <sz val="9"/>
        <rFont val="Calibri"/>
        <family val="2"/>
      </rPr>
      <t>67</t>
    </r>
    <r>
      <rPr>
        <sz val="9"/>
        <rFont val="Verdana"/>
        <family val="2"/>
      </rPr>
      <t>號（水產試驗所東港生技研究中心）</t>
    </r>
  </si>
  <si>
    <r>
      <rPr>
        <sz val="9"/>
        <rFont val="Verdana"/>
        <family val="2"/>
      </rPr>
      <t>竹田</t>
    </r>
  </si>
  <si>
    <t>C0R650</t>
  </si>
  <si>
    <r>
      <rPr>
        <sz val="9"/>
        <rFont val="Verdana"/>
        <family val="2"/>
      </rPr>
      <t>竹田鄉中正路</t>
    </r>
    <r>
      <rPr>
        <sz val="9"/>
        <rFont val="Calibri"/>
        <family val="2"/>
      </rPr>
      <t>123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竹田鄉公所清潔隊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</si>
  <si>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枋寮</t>
    </r>
  </si>
  <si>
    <t>C0R660</t>
  </si>
  <si>
    <r>
      <rPr>
        <sz val="9"/>
        <rFont val="Verdana"/>
        <family val="2"/>
      </rPr>
      <t>枋寮鄉枋寮村德興路</t>
    </r>
    <r>
      <rPr>
        <sz val="9"/>
        <rFont val="Calibri"/>
        <family val="2"/>
      </rPr>
      <t>197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枋寮國小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</si>
  <si>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楓港</t>
    </r>
  </si>
  <si>
    <t>C0R670</t>
  </si>
  <si>
    <r>
      <rPr>
        <sz val="9"/>
        <rFont val="Verdana"/>
        <family val="2"/>
      </rPr>
      <t>枋山鄉善餘村光復路</t>
    </r>
    <r>
      <rPr>
        <sz val="9"/>
        <rFont val="Calibri"/>
        <family val="2"/>
      </rPr>
      <t>24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楓港國小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</si>
  <si>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佳樂水</t>
    </r>
  </si>
  <si>
    <t>C0R680</t>
  </si>
  <si>
    <r>
      <rPr>
        <sz val="9"/>
        <rFont val="Verdana"/>
        <family val="2"/>
      </rPr>
      <t>滿州鄉佳樂水風景區內</t>
    </r>
  </si>
  <si>
    <r>
      <rPr>
        <sz val="9"/>
        <rFont val="Verdana"/>
        <family val="2"/>
      </rPr>
      <t>墾丁</t>
    </r>
  </si>
  <si>
    <t>C0R690</t>
  </si>
  <si>
    <t>348m</t>
  </si>
  <si>
    <r>
      <rPr>
        <sz val="9"/>
        <rFont val="Verdana"/>
        <family val="2"/>
      </rPr>
      <t>恆春鎮墾丁森林遊樂區林業試驗所觀測坪</t>
    </r>
  </si>
  <si>
    <r>
      <rPr>
        <sz val="9"/>
        <rFont val="Verdana"/>
        <family val="2"/>
      </rPr>
      <t>枋山</t>
    </r>
  </si>
  <si>
    <t>C0R700</t>
  </si>
  <si>
    <r>
      <rPr>
        <sz val="9"/>
        <rFont val="Verdana"/>
        <family val="2"/>
      </rPr>
      <t>枋山鄉中山路三段</t>
    </r>
    <r>
      <rPr>
        <sz val="9"/>
        <rFont val="Calibri"/>
        <family val="2"/>
      </rPr>
      <t>52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加祿國小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</si>
  <si>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龍磐</t>
    </r>
  </si>
  <si>
    <t>C0R710</t>
  </si>
  <si>
    <r>
      <rPr>
        <sz val="9"/>
        <rFont val="Verdana"/>
        <family val="2"/>
      </rPr>
      <t>恆春助航台</t>
    </r>
    <r>
      <rPr>
        <sz val="9"/>
        <rFont val="Calibri"/>
        <family val="2"/>
      </rPr>
      <t>(NDB</t>
    </r>
    <r>
      <rPr>
        <sz val="9"/>
        <rFont val="Verdana"/>
        <family val="2"/>
      </rPr>
      <t>歸航台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</si>
  <si>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旭海</t>
    </r>
  </si>
  <si>
    <t>C0R720</t>
  </si>
  <si>
    <t>214m</t>
  </si>
  <si>
    <r>
      <rPr>
        <sz val="9"/>
        <rFont val="Verdana"/>
        <family val="2"/>
      </rPr>
      <t>牡丹鄉旭海大草原步道旁</t>
    </r>
  </si>
  <si>
    <r>
      <rPr>
        <sz val="9"/>
        <rFont val="Verdana"/>
        <family val="2"/>
      </rPr>
      <t>大坪頂</t>
    </r>
  </si>
  <si>
    <t>C0R730</t>
  </si>
  <si>
    <t>163m</t>
  </si>
  <si>
    <r>
      <rPr>
        <sz val="9"/>
        <rFont val="Verdana"/>
        <family val="2"/>
      </rPr>
      <t>恆春鎮大坪頂電信機房旁</t>
    </r>
  </si>
  <si>
    <r>
      <rPr>
        <sz val="9"/>
        <rFont val="Verdana"/>
        <family val="2"/>
      </rPr>
      <t>獅子</t>
    </r>
  </si>
  <si>
    <t>C0R741</t>
  </si>
  <si>
    <r>
      <rPr>
        <sz val="9"/>
        <rFont val="Verdana"/>
        <family val="2"/>
      </rPr>
      <t>獅子鄉楓林村楓林四巷</t>
    </r>
    <r>
      <rPr>
        <sz val="9"/>
        <rFont val="Calibri"/>
        <family val="2"/>
      </rPr>
      <t>28</t>
    </r>
    <r>
      <rPr>
        <sz val="9"/>
        <rFont val="Verdana"/>
        <family val="2"/>
      </rPr>
      <t>號（獅子鄉圖書館）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</si>
  <si>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(C0R740)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2025/01/20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(C0R741)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</si>
  <si>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四林格山</t>
    </r>
  </si>
  <si>
    <t>C0R750</t>
  </si>
  <si>
    <t>551m</t>
  </si>
  <si>
    <r>
      <rPr>
        <sz val="9"/>
        <rFont val="Verdana"/>
        <family val="2"/>
      </rPr>
      <t>牡丹鄉四林格山遊樂區第</t>
    </r>
    <r>
      <rPr>
        <sz val="9"/>
        <rFont val="Calibri"/>
        <family val="2"/>
      </rPr>
      <t>2</t>
    </r>
    <r>
      <rPr>
        <sz val="9"/>
        <rFont val="Verdana"/>
        <family val="2"/>
      </rPr>
      <t>涼亭旁大草原</t>
    </r>
  </si>
  <si>
    <r>
      <rPr>
        <sz val="9"/>
        <rFont val="Verdana"/>
        <family val="2"/>
      </rPr>
      <t>南仁湖</t>
    </r>
  </si>
  <si>
    <t>C0R760</t>
  </si>
  <si>
    <t>336m</t>
  </si>
  <si>
    <r>
      <rPr>
        <sz val="9"/>
        <rFont val="Verdana"/>
        <family val="2"/>
      </rPr>
      <t>滿州鄉南仁湖步道</t>
    </r>
    <r>
      <rPr>
        <sz val="9"/>
        <rFont val="Calibri"/>
        <family val="2"/>
      </rPr>
      <t>4K</t>
    </r>
    <r>
      <rPr>
        <sz val="9"/>
        <rFont val="Verdana"/>
        <family val="2"/>
      </rPr>
      <t>山頂觀測站旁</t>
    </r>
  </si>
  <si>
    <r>
      <rPr>
        <sz val="9"/>
        <rFont val="Verdana"/>
        <family val="2"/>
      </rPr>
      <t>保力</t>
    </r>
  </si>
  <si>
    <t>C0R770</t>
  </si>
  <si>
    <t>93m</t>
  </si>
  <si>
    <r>
      <rPr>
        <sz val="9"/>
        <rFont val="Verdana"/>
        <family val="2"/>
      </rPr>
      <t>車城鄉保力村竹社路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</si>
  <si>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滿州</t>
    </r>
  </si>
  <si>
    <t>C0R780</t>
  </si>
  <si>
    <r>
      <rPr>
        <sz val="9"/>
        <rFont val="Verdana"/>
        <family val="2"/>
      </rPr>
      <t>滿州鄉文化路</t>
    </r>
    <r>
      <rPr>
        <sz val="9"/>
        <rFont val="Calibri"/>
        <family val="2"/>
      </rPr>
      <t>32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</si>
  <si>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九棚</t>
    </r>
  </si>
  <si>
    <t>C0R790</t>
  </si>
  <si>
    <r>
      <rPr>
        <sz val="9"/>
        <rFont val="Verdana"/>
        <family val="2"/>
      </rPr>
      <t>牡丹鄉九棚中科院基地</t>
    </r>
  </si>
  <si>
    <r>
      <rPr>
        <sz val="9"/>
        <rFont val="Verdana"/>
        <family val="2"/>
      </rPr>
      <t>丹路</t>
    </r>
  </si>
  <si>
    <t>C0R800</t>
  </si>
  <si>
    <t>131m</t>
  </si>
  <si>
    <r>
      <rPr>
        <sz val="9"/>
        <rFont val="Verdana"/>
        <family val="2"/>
      </rPr>
      <t>獅子鄉丹路一巷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</si>
  <si>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內獅</t>
    </r>
  </si>
  <si>
    <t>C0R810</t>
  </si>
  <si>
    <r>
      <rPr>
        <sz val="9"/>
        <rFont val="Verdana"/>
        <family val="2"/>
      </rPr>
      <t>獅子鄉內獅村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內獅國小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</si>
  <si>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白鷺</t>
    </r>
  </si>
  <si>
    <t>C0R820</t>
  </si>
  <si>
    <t>588m</t>
  </si>
  <si>
    <r>
      <rPr>
        <sz val="9"/>
        <rFont val="Verdana"/>
        <family val="2"/>
      </rPr>
      <t>來義鄉白鷺大橋沿白鷺道路</t>
    </r>
    <r>
      <rPr>
        <sz val="9"/>
        <rFont val="Calibri"/>
        <family val="2"/>
      </rPr>
      <t>5.5</t>
    </r>
    <r>
      <rPr>
        <sz val="9"/>
        <rFont val="Verdana"/>
        <family val="2"/>
      </rPr>
      <t>公里處</t>
    </r>
  </si>
  <si>
    <r>
      <rPr>
        <sz val="9"/>
        <rFont val="Verdana"/>
        <family val="2"/>
      </rPr>
      <t>高士</t>
    </r>
  </si>
  <si>
    <t>C0R830</t>
  </si>
  <si>
    <t>383m</t>
  </si>
  <si>
    <r>
      <rPr>
        <sz val="9"/>
        <rFont val="Verdana"/>
        <family val="2"/>
      </rPr>
      <t>牡丹鄉高士社區進水廠水塔頂</t>
    </r>
  </si>
  <si>
    <r>
      <rPr>
        <sz val="9"/>
        <rFont val="Verdana"/>
        <family val="2"/>
      </rPr>
      <t>牡丹池山</t>
    </r>
  </si>
  <si>
    <t>C0R840</t>
  </si>
  <si>
    <r>
      <rPr>
        <sz val="9"/>
        <rFont val="Verdana"/>
        <family val="2"/>
      </rPr>
      <t>牡丹鄉牡丹池山山頂</t>
    </r>
  </si>
  <si>
    <r>
      <rPr>
        <sz val="9"/>
        <rFont val="Verdana"/>
        <family val="2"/>
      </rPr>
      <t>林邊</t>
    </r>
  </si>
  <si>
    <t>C0R850</t>
  </si>
  <si>
    <t>16m</t>
  </si>
  <si>
    <r>
      <rPr>
        <sz val="9"/>
        <rFont val="Verdana"/>
        <family val="2"/>
      </rPr>
      <t>林邊鄉竹林村中興路</t>
    </r>
    <r>
      <rPr>
        <sz val="9"/>
        <rFont val="Calibri"/>
        <family val="2"/>
      </rPr>
      <t>122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</si>
  <si>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鼻頭</t>
    </r>
  </si>
  <si>
    <t>C0R860</t>
  </si>
  <si>
    <r>
      <rPr>
        <sz val="9"/>
        <rFont val="Verdana"/>
        <family val="2"/>
      </rPr>
      <t>滿州鄉九棚村</t>
    </r>
  </si>
  <si>
    <r>
      <rPr>
        <sz val="9"/>
        <rFont val="Verdana"/>
        <family val="2"/>
      </rPr>
      <t>興海</t>
    </r>
  </si>
  <si>
    <t>C0R870</t>
  </si>
  <si>
    <r>
      <rPr>
        <sz val="9"/>
        <rFont val="Verdana"/>
        <family val="2"/>
      </rPr>
      <t>滿州鄉港口村</t>
    </r>
    <r>
      <rPr>
        <sz val="9"/>
        <rFont val="Calibri"/>
        <family val="2"/>
      </rPr>
      <t>13</t>
    </r>
    <r>
      <rPr>
        <sz val="9"/>
        <rFont val="Verdana"/>
        <family val="2"/>
      </rPr>
      <t>鄰興海路</t>
    </r>
    <r>
      <rPr>
        <sz val="9"/>
        <rFont val="Calibri"/>
        <family val="2"/>
      </rPr>
      <t>106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</si>
  <si>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後壁湖</t>
    </r>
  </si>
  <si>
    <t>C0R880</t>
  </si>
  <si>
    <r>
      <rPr>
        <sz val="9"/>
        <rFont val="Verdana"/>
        <family val="2"/>
      </rPr>
      <t>恆春鎮大光里</t>
    </r>
    <r>
      <rPr>
        <sz val="9"/>
        <rFont val="Calibri"/>
        <family val="2"/>
      </rPr>
      <t>9</t>
    </r>
    <r>
      <rPr>
        <sz val="9"/>
        <rFont val="Verdana"/>
        <family val="2"/>
      </rPr>
      <t>鄰大光路</t>
    </r>
    <r>
      <rPr>
        <sz val="9"/>
        <rFont val="Calibri"/>
        <family val="2"/>
      </rPr>
      <t>79</t>
    </r>
    <r>
      <rPr>
        <sz val="9"/>
        <rFont val="Verdana"/>
        <family val="2"/>
      </rPr>
      <t>之</t>
    </r>
    <r>
      <rPr>
        <sz val="9"/>
        <rFont val="Calibri"/>
        <family val="2"/>
      </rPr>
      <t>40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</si>
  <si>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山海</t>
    </r>
  </si>
  <si>
    <t>C0R890</t>
  </si>
  <si>
    <r>
      <rPr>
        <sz val="9"/>
        <rFont val="Verdana"/>
        <family val="2"/>
      </rPr>
      <t>恆春鎮山海里山海路</t>
    </r>
    <r>
      <rPr>
        <sz val="9"/>
        <rFont val="Calibri"/>
        <family val="2"/>
      </rPr>
      <t>2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</si>
  <si>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竹坑</t>
    </r>
  </si>
  <si>
    <t>C0R900</t>
  </si>
  <si>
    <r>
      <rPr>
        <sz val="9"/>
        <rFont val="Verdana"/>
        <family val="2"/>
      </rPr>
      <t>車城鄉海口村尖山</t>
    </r>
    <r>
      <rPr>
        <sz val="9"/>
        <rFont val="Calibri"/>
        <family val="2"/>
      </rPr>
      <t>46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</si>
  <si>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下寮</t>
    </r>
  </si>
  <si>
    <t>C0R910</t>
  </si>
  <si>
    <r>
      <rPr>
        <sz val="9"/>
        <rFont val="Verdana"/>
        <family val="2"/>
      </rPr>
      <t>枋寮鄉德聖路</t>
    </r>
    <r>
      <rPr>
        <sz val="9"/>
        <rFont val="Calibri"/>
        <family val="2"/>
      </rPr>
      <t>47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</si>
  <si>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塭仔</t>
    </r>
  </si>
  <si>
    <t>C0R920</t>
  </si>
  <si>
    <r>
      <rPr>
        <sz val="9"/>
        <rFont val="Verdana"/>
        <family val="2"/>
      </rPr>
      <t>佳冬鄉焰溫村炯興路</t>
    </r>
    <r>
      <rPr>
        <sz val="9"/>
        <rFont val="Calibri"/>
        <family val="2"/>
      </rPr>
      <t>51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</si>
  <si>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萬丹</t>
    </r>
  </si>
  <si>
    <t>C0R930</t>
  </si>
  <si>
    <r>
      <rPr>
        <sz val="9"/>
        <rFont val="Verdana"/>
        <family val="2"/>
      </rPr>
      <t>萬丹鄉和平西路</t>
    </r>
    <r>
      <rPr>
        <sz val="9"/>
        <rFont val="Calibri"/>
        <family val="2"/>
      </rPr>
      <t>149</t>
    </r>
    <r>
      <rPr>
        <sz val="9"/>
        <rFont val="Verdana"/>
        <family val="2"/>
      </rPr>
      <t>號（萬丹消防分隊樓頂）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</si>
  <si>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(C0R510)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2023/03/14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(C0R930)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</si>
  <si>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加祿堂</t>
    </r>
  </si>
  <si>
    <t>C0R940</t>
  </si>
  <si>
    <r>
      <rPr>
        <sz val="9"/>
        <rFont val="Verdana"/>
        <family val="2"/>
      </rPr>
      <t>枋山鄉加祿村</t>
    </r>
    <r>
      <rPr>
        <sz val="9"/>
        <rFont val="Calibri"/>
        <family val="2"/>
      </rPr>
      <t>190</t>
    </r>
    <r>
      <rPr>
        <sz val="9"/>
        <rFont val="Verdana"/>
        <family val="2"/>
      </rPr>
      <t>之</t>
    </r>
    <r>
      <rPr>
        <sz val="9"/>
        <rFont val="Calibri"/>
        <family val="2"/>
      </rPr>
      <t>300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</si>
  <si>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(C0E940)</t>
    </r>
    <r>
      <rPr>
        <sz val="9"/>
        <rFont val="Verdana"/>
        <family val="2"/>
      </rPr>
      <t>站因縣市代碼不符，於</t>
    </r>
    <r>
      <rPr>
        <sz val="9"/>
        <rFont val="Calibri"/>
        <family val="2"/>
      </rPr>
      <t>2023/01/04</t>
    </r>
    <r>
      <rPr>
        <sz val="9"/>
        <rFont val="Verdana"/>
        <family val="2"/>
      </rPr>
      <t>重新編碼為為</t>
    </r>
    <r>
      <rPr>
        <sz val="9"/>
        <rFont val="Calibri"/>
        <family val="2"/>
      </rPr>
      <t>(C0R940)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</si>
  <si>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萬隆國小</t>
    </r>
  </si>
  <si>
    <t>C0R950</t>
  </si>
  <si>
    <r>
      <rPr>
        <sz val="9"/>
        <rFont val="Verdana"/>
        <family val="2"/>
      </rPr>
      <t>新埤鄉中山路</t>
    </r>
    <r>
      <rPr>
        <sz val="9"/>
        <rFont val="Calibri"/>
        <family val="2"/>
      </rPr>
      <t>126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</si>
  <si>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內埔</t>
    </r>
  </si>
  <si>
    <t>C0R960</t>
  </si>
  <si>
    <r>
      <rPr>
        <sz val="9"/>
        <rFont val="Verdana"/>
        <family val="2"/>
      </rPr>
      <t>內埔鄉南華路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</si>
  <si>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下馬</t>
    </r>
  </si>
  <si>
    <t>C0S660</t>
  </si>
  <si>
    <t>794m</t>
  </si>
  <si>
    <r>
      <rPr>
        <sz val="9"/>
        <rFont val="Verdana"/>
        <family val="2"/>
      </rPr>
      <t>臺東縣</t>
    </r>
  </si>
  <si>
    <r>
      <rPr>
        <sz val="9"/>
        <rFont val="Verdana"/>
        <family val="2"/>
      </rPr>
      <t>海端鄉廢棄下馬派出所旁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</si>
  <si>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(C1S660)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(C0S660)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</si>
  <si>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太麻里</t>
    </r>
  </si>
  <si>
    <t>C0S690</t>
  </si>
  <si>
    <t>522m</t>
  </si>
  <si>
    <r>
      <rPr>
        <sz val="9"/>
        <rFont val="Verdana"/>
        <family val="2"/>
      </rPr>
      <t>太麻里鄉</t>
    </r>
    <r>
      <rPr>
        <sz val="9"/>
        <rFont val="Calibri"/>
        <family val="2"/>
      </rPr>
      <t>(</t>
    </r>
    <r>
      <rPr>
        <sz val="9"/>
        <rFont val="Verdana"/>
        <family val="2"/>
      </rPr>
      <t>往金針山茶區之半路上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</si>
  <si>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2019/3/5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</si>
  <si>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知本</t>
    </r>
  </si>
  <si>
    <t>C0S700</t>
  </si>
  <si>
    <t>507m</t>
  </si>
  <si>
    <r>
      <rPr>
        <sz val="9"/>
        <rFont val="Verdana"/>
        <family val="2"/>
      </rPr>
      <t>卑南鄉溫泉村</t>
    </r>
    <r>
      <rPr>
        <sz val="9"/>
        <rFont val="Calibri"/>
        <family val="2"/>
      </rPr>
      <t>(</t>
    </r>
    <r>
      <rPr>
        <sz val="9"/>
        <rFont val="Verdana"/>
        <family val="2"/>
      </rPr>
      <t>溫泉國小之樂山分校內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</si>
  <si>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2019/2/23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</si>
  <si>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鹿野</t>
    </r>
  </si>
  <si>
    <t>C0S710</t>
  </si>
  <si>
    <t>382m</t>
  </si>
  <si>
    <r>
      <rPr>
        <sz val="9"/>
        <rFont val="Verdana"/>
        <family val="2"/>
      </rPr>
      <t>鹿野鄉鹿野高台高眺亭公廁東側草地上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</si>
  <si>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2015/1/1</t>
    </r>
    <r>
      <rPr>
        <sz val="9"/>
        <rFont val="Verdana"/>
        <family val="2"/>
      </rPr>
      <t>短距離位移。本站於</t>
    </r>
    <r>
      <rPr>
        <sz val="9"/>
        <rFont val="Calibri"/>
        <family val="2"/>
      </rPr>
      <t>2019/3/20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</si>
  <si>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綠島</t>
    </r>
  </si>
  <si>
    <t>C0S730</t>
  </si>
  <si>
    <r>
      <rPr>
        <sz val="9"/>
        <rFont val="Verdana"/>
        <family val="2"/>
      </rPr>
      <t>綠島鄉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</si>
  <si>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2019/3/25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</si>
  <si>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池上</t>
    </r>
  </si>
  <si>
    <t>C0S740</t>
  </si>
  <si>
    <t>289m</t>
  </si>
  <si>
    <r>
      <rPr>
        <sz val="9"/>
        <rFont val="Verdana"/>
        <family val="2"/>
      </rPr>
      <t>池上鄉新興村</t>
    </r>
    <r>
      <rPr>
        <sz val="9"/>
        <rFont val="Calibri"/>
        <family val="2"/>
      </rPr>
      <t>104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退輔會臺東農場內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</si>
  <si>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2019/3/22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</si>
  <si>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向陽</t>
    </r>
  </si>
  <si>
    <t>C0S750</t>
  </si>
  <si>
    <t>2280m</t>
  </si>
  <si>
    <r>
      <rPr>
        <sz val="9"/>
        <rFont val="Verdana"/>
        <family val="2"/>
      </rPr>
      <t>海端鄉向陽</t>
    </r>
    <r>
      <rPr>
        <sz val="9"/>
        <rFont val="Calibri"/>
        <family val="2"/>
      </rPr>
      <t>(</t>
    </r>
    <r>
      <rPr>
        <sz val="9"/>
        <rFont val="Verdana"/>
        <family val="2"/>
      </rPr>
      <t>公路局向陽工務段圍牆內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</si>
  <si>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2019/4/16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</si>
  <si>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紅石</t>
    </r>
  </si>
  <si>
    <t>C0S760</t>
  </si>
  <si>
    <t>1621m</t>
  </si>
  <si>
    <r>
      <rPr>
        <sz val="9"/>
        <rFont val="Verdana"/>
        <family val="2"/>
      </rPr>
      <t>海端鄉紅石</t>
    </r>
    <r>
      <rPr>
        <sz val="9"/>
        <rFont val="Calibri"/>
        <family val="2"/>
      </rPr>
      <t>(</t>
    </r>
    <r>
      <rPr>
        <sz val="9"/>
        <rFont val="Verdana"/>
        <family val="2"/>
      </rPr>
      <t>紅石瞭望臺旁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</si>
  <si>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2019/4/14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</si>
  <si>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大溪山</t>
    </r>
  </si>
  <si>
    <t>C0S770</t>
  </si>
  <si>
    <t>375m</t>
  </si>
  <si>
    <r>
      <rPr>
        <sz val="9"/>
        <rFont val="Verdana"/>
        <family val="2"/>
      </rPr>
      <t>太麻里鄉多良村</t>
    </r>
    <r>
      <rPr>
        <sz val="9"/>
        <rFont val="Calibri"/>
        <family val="2"/>
      </rPr>
      <t>(</t>
    </r>
    <r>
      <rPr>
        <sz val="9"/>
        <rFont val="Verdana"/>
        <family val="2"/>
      </rPr>
      <t>廢棄中華電信轉播站旁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</si>
  <si>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2019/3/8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</si>
  <si>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金崙</t>
    </r>
  </si>
  <si>
    <t>C0S790</t>
  </si>
  <si>
    <t>236m</t>
  </si>
  <si>
    <r>
      <rPr>
        <sz val="9"/>
        <rFont val="Verdana"/>
        <family val="2"/>
      </rPr>
      <t>太麻里鄉金崙段</t>
    </r>
    <r>
      <rPr>
        <sz val="9"/>
        <rFont val="Calibri"/>
        <family val="2"/>
      </rPr>
      <t>0304-1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</si>
  <si>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2019/2/26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</si>
  <si>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東河</t>
    </r>
  </si>
  <si>
    <t>C0S810</t>
  </si>
  <si>
    <r>
      <rPr>
        <sz val="9"/>
        <rFont val="Verdana"/>
        <family val="2"/>
      </rPr>
      <t>東河鄉北東河</t>
    </r>
    <r>
      <rPr>
        <sz val="9"/>
        <rFont val="Calibri"/>
        <family val="2"/>
      </rPr>
      <t>17</t>
    </r>
    <r>
      <rPr>
        <sz val="9"/>
        <rFont val="Verdana"/>
        <family val="2"/>
      </rPr>
      <t>鄰</t>
    </r>
    <r>
      <rPr>
        <sz val="9"/>
        <rFont val="Calibri"/>
        <family val="2"/>
      </rPr>
      <t>26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東河國民小學操場旁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</si>
  <si>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(C1S640)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2004/6/1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(C0S810)</t>
    </r>
    <r>
      <rPr>
        <sz val="9"/>
        <rFont val="Verdana"/>
        <family val="2"/>
      </rPr>
      <t>站。本站於</t>
    </r>
    <r>
      <rPr>
        <sz val="9"/>
        <rFont val="Calibri"/>
        <family val="2"/>
      </rPr>
      <t>2019/3/31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</si>
  <si>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長濱</t>
    </r>
  </si>
  <si>
    <t>C0S830</t>
  </si>
  <si>
    <t>288m</t>
  </si>
  <si>
    <r>
      <rPr>
        <sz val="9"/>
        <rFont val="Verdana"/>
        <family val="2"/>
      </rPr>
      <t>長濱鄉竹湖村移民橋後方山頂三角點旁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</si>
  <si>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(C1S650)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2004/6/1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(C0S830)</t>
    </r>
    <r>
      <rPr>
        <sz val="9"/>
        <rFont val="Verdana"/>
        <family val="2"/>
      </rPr>
      <t>站。本站於</t>
    </r>
    <r>
      <rPr>
        <sz val="9"/>
        <rFont val="Calibri"/>
        <family val="2"/>
      </rPr>
      <t>2019/3/30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</si>
  <si>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南田</t>
    </r>
  </si>
  <si>
    <t>C0S840</t>
  </si>
  <si>
    <r>
      <rPr>
        <sz val="9"/>
        <rFont val="Verdana"/>
        <family val="2"/>
      </rPr>
      <t>達仁鄉南田村南田風景區公園對面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</si>
  <si>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2019/3/13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</si>
  <si>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關山</t>
    </r>
  </si>
  <si>
    <t>C0S890</t>
  </si>
  <si>
    <t>238m</t>
  </si>
  <si>
    <r>
      <rPr>
        <sz val="9"/>
        <rFont val="Verdana"/>
        <family val="2"/>
      </rPr>
      <t>關山鎮親水公園內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</si>
  <si>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2019/3/21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</si>
  <si>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蘭嶼高中</t>
    </r>
  </si>
  <si>
    <t>C0S900</t>
  </si>
  <si>
    <r>
      <rPr>
        <sz val="9"/>
        <rFont val="Verdana"/>
        <family val="2"/>
      </rPr>
      <t>蘭嶼鄉椰油村</t>
    </r>
    <r>
      <rPr>
        <sz val="9"/>
        <rFont val="Calibri"/>
        <family val="2"/>
      </rPr>
      <t>37</t>
    </r>
    <r>
      <rPr>
        <sz val="9"/>
        <rFont val="Verdana"/>
        <family val="2"/>
      </rPr>
      <t>號（蘭嶼高中內）</t>
    </r>
  </si>
  <si>
    <r>
      <rPr>
        <sz val="9"/>
        <rFont val="Verdana"/>
        <family val="2"/>
      </rPr>
      <t>蘭嶼燈塔</t>
    </r>
  </si>
  <si>
    <t>C0S910</t>
  </si>
  <si>
    <t>212m</t>
  </si>
  <si>
    <r>
      <rPr>
        <sz val="9"/>
        <rFont val="Verdana"/>
        <family val="2"/>
      </rPr>
      <t>蘭嶼鄉椰油段</t>
    </r>
    <r>
      <rPr>
        <sz val="9"/>
        <rFont val="Calibri"/>
        <family val="2"/>
      </rPr>
      <t>1-7</t>
    </r>
    <r>
      <rPr>
        <sz val="9"/>
        <rFont val="Verdana"/>
        <family val="2"/>
      </rPr>
      <t>地號（蘭嶼燈塔旁）</t>
    </r>
  </si>
  <si>
    <r>
      <rPr>
        <sz val="9"/>
        <rFont val="Verdana"/>
        <family val="2"/>
      </rPr>
      <t>金峰嘉蘭</t>
    </r>
  </si>
  <si>
    <t>C0S920</t>
  </si>
  <si>
    <t>133m</t>
  </si>
  <si>
    <r>
      <rPr>
        <sz val="9"/>
        <rFont val="Verdana"/>
        <family val="2"/>
      </rPr>
      <t>金峰鄉嘉蘭村</t>
    </r>
    <r>
      <rPr>
        <sz val="9"/>
        <rFont val="Calibri"/>
        <family val="2"/>
      </rPr>
      <t>12</t>
    </r>
    <r>
      <rPr>
        <sz val="9"/>
        <rFont val="Verdana"/>
        <family val="2"/>
      </rPr>
      <t>鄰</t>
    </r>
    <r>
      <rPr>
        <sz val="9"/>
        <rFont val="Calibri"/>
        <family val="2"/>
      </rPr>
      <t>665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金峰鄉嘉蘭村活動中心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</si>
  <si>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延平</t>
    </r>
  </si>
  <si>
    <t>C0S930</t>
  </si>
  <si>
    <t>248m</t>
  </si>
  <si>
    <r>
      <rPr>
        <sz val="9"/>
        <rFont val="Verdana"/>
        <family val="2"/>
      </rPr>
      <t>延平鄉昇平路</t>
    </r>
    <r>
      <rPr>
        <sz val="9"/>
        <rFont val="Calibri"/>
        <family val="2"/>
      </rPr>
      <t>75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延平消防分隊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</si>
  <si>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石寧山</t>
    </r>
  </si>
  <si>
    <t>C0S940</t>
  </si>
  <si>
    <r>
      <rPr>
        <sz val="9"/>
        <rFont val="Verdana"/>
        <family val="2"/>
      </rPr>
      <t>長濱鄉寧埔村石寧山附近山區</t>
    </r>
  </si>
  <si>
    <r>
      <rPr>
        <sz val="9"/>
        <rFont val="Verdana"/>
        <family val="2"/>
      </rPr>
      <t>七塊厝</t>
    </r>
  </si>
  <si>
    <t>C0S950</t>
  </si>
  <si>
    <t>415m</t>
  </si>
  <si>
    <r>
      <rPr>
        <sz val="9"/>
        <rFont val="Verdana"/>
        <family val="2"/>
      </rPr>
      <t>東河鄉尚德村七塊厝產業道路附近山區</t>
    </r>
  </si>
  <si>
    <r>
      <rPr>
        <sz val="9"/>
        <rFont val="Verdana"/>
        <family val="2"/>
      </rPr>
      <t>香蘭</t>
    </r>
  </si>
  <si>
    <t>C0S960</t>
  </si>
  <si>
    <r>
      <rPr>
        <sz val="9"/>
        <rFont val="Verdana"/>
        <family val="2"/>
      </rPr>
      <t>太麻里鄉香蘭村四鄰</t>
    </r>
    <r>
      <rPr>
        <sz val="9"/>
        <rFont val="Calibri"/>
        <family val="2"/>
      </rPr>
      <t>28</t>
    </r>
    <r>
      <rPr>
        <sz val="9"/>
        <rFont val="Verdana"/>
        <family val="2"/>
      </rPr>
      <t>號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香蘭國小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</si>
  <si>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加津林</t>
    </r>
  </si>
  <si>
    <t>C0S970</t>
  </si>
  <si>
    <r>
      <rPr>
        <sz val="9"/>
        <rFont val="Verdana"/>
        <family val="2"/>
      </rPr>
      <t>大武鄉大竹村</t>
    </r>
    <r>
      <rPr>
        <sz val="9"/>
        <rFont val="Calibri"/>
        <family val="2"/>
      </rPr>
      <t>14</t>
    </r>
    <r>
      <rPr>
        <sz val="9"/>
        <rFont val="Verdana"/>
        <family val="2"/>
      </rPr>
      <t>鄰加津林</t>
    </r>
    <r>
      <rPr>
        <sz val="9"/>
        <rFont val="Calibri"/>
        <family val="2"/>
      </rPr>
      <t>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舊高溪派出所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</si>
  <si>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勝林山</t>
    </r>
  </si>
  <si>
    <t>C0S980</t>
  </si>
  <si>
    <t>903m</t>
  </si>
  <si>
    <r>
      <rPr>
        <sz val="9"/>
        <rFont val="Verdana"/>
        <family val="2"/>
      </rPr>
      <t>達仁鄉勝林山山頂停機坪旁</t>
    </r>
    <r>
      <rPr>
        <sz val="9"/>
        <rFont val="Calibri"/>
        <family val="2"/>
      </rPr>
      <t>(</t>
    </r>
    <r>
      <rPr>
        <sz val="9"/>
        <rFont val="Verdana"/>
        <family val="2"/>
      </rPr>
      <t>與大武鄉交界附近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</si>
  <si>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山豬窟</t>
    </r>
  </si>
  <si>
    <t>C0S990</t>
  </si>
  <si>
    <t>409m</t>
  </si>
  <si>
    <r>
      <rPr>
        <sz val="9"/>
        <rFont val="Verdana"/>
        <family val="2"/>
      </rPr>
      <t>大武鄉南興村山豬窟產業道路附近山區</t>
    </r>
    <r>
      <rPr>
        <sz val="9"/>
        <rFont val="Calibri"/>
        <family val="2"/>
      </rPr>
      <t>(</t>
    </r>
    <r>
      <rPr>
        <sz val="9"/>
        <rFont val="Verdana"/>
        <family val="2"/>
      </rPr>
      <t>梅園涼亭旁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</si>
  <si>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歷坵</t>
    </r>
  </si>
  <si>
    <t>C0SA00</t>
  </si>
  <si>
    <t>466m</t>
  </si>
  <si>
    <r>
      <rPr>
        <sz val="9"/>
        <rFont val="Verdana"/>
        <family val="2"/>
      </rPr>
      <t>金峰鄉歷坵產業道路附近山區</t>
    </r>
  </si>
  <si>
    <r>
      <rPr>
        <sz val="9"/>
        <rFont val="Verdana"/>
        <family val="2"/>
      </rPr>
      <t>檳榔四格山</t>
    </r>
  </si>
  <si>
    <t>C0SA10</t>
  </si>
  <si>
    <t>411m</t>
  </si>
  <si>
    <r>
      <rPr>
        <sz val="9"/>
        <rFont val="Verdana"/>
        <family val="2"/>
      </rPr>
      <t>卑南鄉檳榔四格山山頂瞭望臺旁</t>
    </r>
  </si>
  <si>
    <r>
      <rPr>
        <sz val="9"/>
        <rFont val="Verdana"/>
        <family val="2"/>
      </rPr>
      <t>金崙山</t>
    </r>
  </si>
  <si>
    <t>C0SA20</t>
  </si>
  <si>
    <t>857m</t>
  </si>
  <si>
    <r>
      <rPr>
        <sz val="9"/>
        <rFont val="Verdana"/>
        <family val="2"/>
      </rPr>
      <t>太麻里鄉富山產業道路附近山區</t>
    </r>
    <r>
      <rPr>
        <sz val="9"/>
        <rFont val="Calibri"/>
        <family val="2"/>
      </rPr>
      <t>(</t>
    </r>
    <r>
      <rPr>
        <sz val="9"/>
        <rFont val="Verdana"/>
        <family val="2"/>
      </rPr>
      <t>與金峰鄉交界附近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</si>
  <si>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都歷</t>
    </r>
  </si>
  <si>
    <t>C0SA30</t>
  </si>
  <si>
    <r>
      <rPr>
        <sz val="9"/>
        <rFont val="Verdana"/>
        <family val="2"/>
      </rPr>
      <t>成功鎮新村路</t>
    </r>
    <r>
      <rPr>
        <sz val="9"/>
        <rFont val="Calibri"/>
        <family val="2"/>
      </rPr>
      <t>25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東部海岸國家風景區管理處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</si>
  <si>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瑞和</t>
    </r>
  </si>
  <si>
    <t>C0SA40</t>
  </si>
  <si>
    <t>200m</t>
  </si>
  <si>
    <r>
      <rPr>
        <sz val="9"/>
        <rFont val="Verdana"/>
        <family val="2"/>
      </rPr>
      <t>鹿野鄉瑞和村瑞景路</t>
    </r>
    <r>
      <rPr>
        <sz val="9"/>
        <rFont val="Calibri"/>
        <family val="2"/>
      </rPr>
      <t>3</t>
    </r>
    <r>
      <rPr>
        <sz val="9"/>
        <rFont val="Verdana"/>
        <family val="2"/>
      </rPr>
      <t>段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瑞源國中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</si>
  <si>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知本（水試所）</t>
    </r>
  </si>
  <si>
    <t>C0SA60</t>
  </si>
  <si>
    <r>
      <rPr>
        <sz val="9"/>
        <rFont val="Verdana"/>
        <family val="2"/>
      </rPr>
      <t>臺東市知本路</t>
    </r>
    <r>
      <rPr>
        <sz val="9"/>
        <rFont val="Calibri"/>
        <family val="2"/>
      </rPr>
      <t>2</t>
    </r>
    <r>
      <rPr>
        <sz val="9"/>
        <rFont val="Verdana"/>
        <family val="2"/>
      </rPr>
      <t>段</t>
    </r>
    <r>
      <rPr>
        <sz val="9"/>
        <rFont val="Calibri"/>
        <family val="2"/>
      </rPr>
      <t>291</t>
    </r>
    <r>
      <rPr>
        <sz val="9"/>
        <rFont val="Verdana"/>
        <family val="2"/>
      </rPr>
      <t>巷</t>
    </r>
    <r>
      <rPr>
        <sz val="9"/>
        <rFont val="Calibri"/>
        <family val="2"/>
      </rPr>
      <t>299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</si>
  <si>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土坂</t>
    </r>
  </si>
  <si>
    <t>C0SA80</t>
  </si>
  <si>
    <t>136m</t>
  </si>
  <si>
    <r>
      <rPr>
        <sz val="9"/>
        <rFont val="Verdana"/>
        <family val="2"/>
      </rPr>
      <t>達仁鄉土坂村</t>
    </r>
    <r>
      <rPr>
        <sz val="9"/>
        <rFont val="Calibri"/>
        <family val="2"/>
      </rPr>
      <t>1</t>
    </r>
    <r>
      <rPr>
        <sz val="9"/>
        <rFont val="Verdana"/>
        <family val="2"/>
      </rPr>
      <t>鄰</t>
    </r>
    <r>
      <rPr>
        <sz val="9"/>
        <rFont val="Calibri"/>
        <family val="2"/>
      </rPr>
      <t>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土坂國民小學操場旁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</si>
  <si>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(C1S620)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2019/3/23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(C0SA80)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</si>
  <si>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達仁林場</t>
    </r>
  </si>
  <si>
    <t>C0SA90</t>
  </si>
  <si>
    <t>497m</t>
  </si>
  <si>
    <r>
      <rPr>
        <sz val="9"/>
        <rFont val="Verdana"/>
        <family val="2"/>
      </rPr>
      <t>達仁鄉臺東達五號農路</t>
    </r>
    <r>
      <rPr>
        <sz val="9"/>
        <rFont val="Calibri"/>
        <family val="2"/>
      </rPr>
      <t>4K</t>
    </r>
    <r>
      <rPr>
        <sz val="9"/>
        <rFont val="Verdana"/>
        <family val="2"/>
      </rPr>
      <t>處</t>
    </r>
  </si>
  <si>
    <r>
      <rPr>
        <sz val="9"/>
        <rFont val="Verdana"/>
        <family val="2"/>
      </rPr>
      <t>美和</t>
    </r>
  </si>
  <si>
    <t>C0SB10</t>
  </si>
  <si>
    <t>28m</t>
  </si>
  <si>
    <r>
      <rPr>
        <sz val="9"/>
        <rFont val="Verdana"/>
        <family val="2"/>
      </rPr>
      <t>太麻里鄉美和村</t>
    </r>
    <r>
      <rPr>
        <sz val="9"/>
        <rFont val="Calibri"/>
        <family val="2"/>
      </rPr>
      <t>3</t>
    </r>
    <r>
      <rPr>
        <sz val="9"/>
        <rFont val="Verdana"/>
        <family val="2"/>
      </rPr>
      <t>鄰</t>
    </r>
    <r>
      <rPr>
        <sz val="9"/>
        <rFont val="Calibri"/>
        <family val="2"/>
      </rPr>
      <t>28-1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</si>
  <si>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富岡</t>
    </r>
  </si>
  <si>
    <t>C0SB20</t>
  </si>
  <si>
    <r>
      <rPr>
        <sz val="9"/>
        <rFont val="Verdana"/>
        <family val="2"/>
      </rPr>
      <t>臺東市富岡街</t>
    </r>
    <r>
      <rPr>
        <sz val="9"/>
        <rFont val="Calibri"/>
        <family val="2"/>
      </rPr>
      <t>299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</si>
  <si>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新蘭</t>
    </r>
  </si>
  <si>
    <t>C0SB30</t>
  </si>
  <si>
    <r>
      <rPr>
        <sz val="9"/>
        <rFont val="Verdana"/>
        <family val="2"/>
      </rPr>
      <t>東河鄉都蘭村都蘭</t>
    </r>
    <r>
      <rPr>
        <sz val="9"/>
        <rFont val="Calibri"/>
        <family val="2"/>
      </rPr>
      <t>24</t>
    </r>
    <r>
      <rPr>
        <sz val="9"/>
        <rFont val="Verdana"/>
        <family val="2"/>
      </rPr>
      <t>之</t>
    </r>
    <r>
      <rPr>
        <sz val="9"/>
        <rFont val="Calibri"/>
        <family val="2"/>
      </rPr>
      <t>13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</si>
  <si>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興隆</t>
    </r>
  </si>
  <si>
    <t>C0SB40</t>
  </si>
  <si>
    <r>
      <rPr>
        <sz val="9"/>
        <rFont val="Verdana"/>
        <family val="2"/>
      </rPr>
      <t>東河鄉興昌村</t>
    </r>
    <r>
      <rPr>
        <sz val="9"/>
        <rFont val="Calibri"/>
        <family val="2"/>
      </rPr>
      <t>29</t>
    </r>
    <r>
      <rPr>
        <sz val="9"/>
        <rFont val="Verdana"/>
        <family val="2"/>
      </rPr>
      <t>鄰</t>
    </r>
    <r>
      <rPr>
        <sz val="9"/>
        <rFont val="Calibri"/>
        <family val="2"/>
      </rPr>
      <t>28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</si>
  <si>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叭嗡嗡</t>
    </r>
  </si>
  <si>
    <t>C0SB50</t>
  </si>
  <si>
    <r>
      <rPr>
        <sz val="9"/>
        <rFont val="Verdana"/>
        <family val="2"/>
      </rPr>
      <t>成功鎮豐田路</t>
    </r>
    <r>
      <rPr>
        <sz val="9"/>
        <rFont val="Calibri"/>
        <family val="2"/>
      </rPr>
      <t>3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</si>
  <si>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白守蓮</t>
    </r>
  </si>
  <si>
    <t>C0SB60</t>
  </si>
  <si>
    <r>
      <rPr>
        <sz val="9"/>
        <rFont val="Verdana"/>
        <family val="2"/>
      </rPr>
      <t>成功鎮白蓮路</t>
    </r>
    <r>
      <rPr>
        <sz val="9"/>
        <rFont val="Calibri"/>
        <family val="2"/>
      </rPr>
      <t>43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</si>
  <si>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小港漁港</t>
    </r>
  </si>
  <si>
    <t>C0SB70</t>
  </si>
  <si>
    <r>
      <rPr>
        <sz val="9"/>
        <rFont val="Verdana"/>
        <family val="2"/>
      </rPr>
      <t>成功鎮成廣路</t>
    </r>
    <r>
      <rPr>
        <sz val="9"/>
        <rFont val="Calibri"/>
        <family val="2"/>
      </rPr>
      <t>9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</si>
  <si>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長濱漁港</t>
    </r>
  </si>
  <si>
    <t>C0SB80</t>
  </si>
  <si>
    <r>
      <rPr>
        <sz val="9"/>
        <rFont val="Verdana"/>
        <family val="2"/>
      </rPr>
      <t>長濱鄉長濱村</t>
    </r>
    <r>
      <rPr>
        <sz val="9"/>
        <rFont val="Calibri"/>
        <family val="2"/>
      </rPr>
      <t>15</t>
    </r>
    <r>
      <rPr>
        <sz val="9"/>
        <rFont val="Verdana"/>
        <family val="2"/>
      </rPr>
      <t>鄰</t>
    </r>
    <r>
      <rPr>
        <sz val="9"/>
        <rFont val="Calibri"/>
        <family val="2"/>
      </rPr>
      <t>181-2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</si>
  <si>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大禹嶺</t>
    </r>
  </si>
  <si>
    <t>C0T790</t>
  </si>
  <si>
    <t>2830m</t>
  </si>
  <si>
    <r>
      <rPr>
        <sz val="9"/>
        <rFont val="Verdana"/>
        <family val="2"/>
      </rPr>
      <t>花蓮縣</t>
    </r>
  </si>
  <si>
    <r>
      <rPr>
        <sz val="9"/>
        <rFont val="Verdana"/>
        <family val="2"/>
      </rPr>
      <t>秀林鄉立霧溪事業區</t>
    </r>
    <r>
      <rPr>
        <sz val="9"/>
        <rFont val="Calibri"/>
        <family val="2"/>
      </rPr>
      <t>67</t>
    </r>
    <r>
      <rPr>
        <sz val="9"/>
        <rFont val="Verdana"/>
        <family val="2"/>
      </rPr>
      <t>林班地</t>
    </r>
    <r>
      <rPr>
        <sz val="9"/>
        <rFont val="Calibri"/>
        <family val="2"/>
      </rPr>
      <t>(</t>
    </r>
    <r>
      <rPr>
        <sz val="9"/>
        <rFont val="Verdana"/>
        <family val="2"/>
      </rPr>
      <t>救國團大禹山莊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</si>
  <si>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天祥</t>
    </r>
  </si>
  <si>
    <t>C0T820</t>
  </si>
  <si>
    <t>550m</t>
  </si>
  <si>
    <r>
      <rPr>
        <sz val="9"/>
        <rFont val="Verdana"/>
        <family val="2"/>
      </rPr>
      <t>秀林鄉立霧溪事業區</t>
    </r>
    <r>
      <rPr>
        <sz val="9"/>
        <rFont val="Calibri"/>
        <family val="2"/>
      </rPr>
      <t>80</t>
    </r>
    <r>
      <rPr>
        <sz val="9"/>
        <rFont val="Verdana"/>
        <family val="2"/>
      </rPr>
      <t>林班地</t>
    </r>
    <r>
      <rPr>
        <sz val="9"/>
        <rFont val="Calibri"/>
        <family val="2"/>
      </rPr>
      <t>(</t>
    </r>
    <r>
      <rPr>
        <sz val="9"/>
        <rFont val="Verdana"/>
        <family val="2"/>
      </rPr>
      <t>天祥祥德寺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</si>
  <si>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2017/9/23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</si>
  <si>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鯉魚潭</t>
    </r>
  </si>
  <si>
    <t>C0T870</t>
  </si>
  <si>
    <t>135m</t>
  </si>
  <si>
    <r>
      <rPr>
        <sz val="9"/>
        <rFont val="Verdana"/>
        <family val="2"/>
      </rPr>
      <t>壽豐鄉池南村池南路一段</t>
    </r>
    <r>
      <rPr>
        <sz val="9"/>
        <rFont val="Calibri"/>
        <family val="2"/>
      </rPr>
      <t>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鯉魚潭風景區旁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</si>
  <si>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2017/4/7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</si>
  <si>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西林</t>
    </r>
  </si>
  <si>
    <t>C0T900</t>
  </si>
  <si>
    <r>
      <rPr>
        <sz val="9"/>
        <rFont val="Verdana"/>
        <family val="2"/>
      </rPr>
      <t>萬榮鄉西林路</t>
    </r>
    <r>
      <rPr>
        <sz val="9"/>
        <rFont val="Calibri"/>
        <family val="2"/>
      </rPr>
      <t>8</t>
    </r>
    <r>
      <rPr>
        <sz val="9"/>
        <rFont val="Verdana"/>
        <family val="2"/>
      </rPr>
      <t>鄰</t>
    </r>
    <r>
      <rPr>
        <sz val="9"/>
        <rFont val="Calibri"/>
        <family val="2"/>
      </rPr>
      <t>114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西林國民小學運動場旁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</si>
  <si>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(C1T900)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2010/7/1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(C0T900)</t>
    </r>
    <r>
      <rPr>
        <sz val="9"/>
        <rFont val="Verdana"/>
        <family val="2"/>
      </rPr>
      <t>站，</t>
    </r>
    <r>
      <rPr>
        <sz val="9"/>
        <rFont val="Calibri"/>
        <family val="2"/>
      </rPr>
      <t>2017/4/14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</si>
  <si>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光復</t>
    </r>
  </si>
  <si>
    <t>C0T960</t>
  </si>
  <si>
    <r>
      <rPr>
        <sz val="9"/>
        <rFont val="Verdana"/>
        <family val="2"/>
      </rPr>
      <t>光復鄉大進村糖廠街</t>
    </r>
    <r>
      <rPr>
        <sz val="9"/>
        <rFont val="Calibri"/>
        <family val="2"/>
      </rPr>
      <t>19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台糖公司花蓮光復糖廠內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</si>
  <si>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2017/5/3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</si>
  <si>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月眉山</t>
    </r>
  </si>
  <si>
    <t>C0T9A0</t>
  </si>
  <si>
    <t>498m</t>
  </si>
  <si>
    <r>
      <rPr>
        <sz val="9"/>
        <rFont val="Verdana"/>
        <family val="2"/>
      </rPr>
      <t>壽豐鄉月眉山旁的小山丘上</t>
    </r>
    <r>
      <rPr>
        <sz val="9"/>
        <rFont val="Calibri"/>
        <family val="2"/>
      </rPr>
      <t>(</t>
    </r>
    <r>
      <rPr>
        <sz val="9"/>
        <rFont val="Verdana"/>
        <family val="2"/>
      </rPr>
      <t>過米棧大橋往山上水璉方向至四號橋左轉之山上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</si>
  <si>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2017/5/11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</si>
  <si>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水源</t>
    </r>
  </si>
  <si>
    <t>C0T9B0</t>
  </si>
  <si>
    <t>558m</t>
  </si>
  <si>
    <r>
      <rPr>
        <sz val="9"/>
        <rFont val="Verdana"/>
        <family val="2"/>
      </rPr>
      <t>秀林鄉原林務局水源段的苗圃內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</si>
  <si>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2017/3/27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</si>
  <si>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和中</t>
    </r>
  </si>
  <si>
    <t>C0T9D0</t>
  </si>
  <si>
    <r>
      <rPr>
        <sz val="9"/>
        <rFont val="Verdana"/>
        <family val="2"/>
      </rPr>
      <t>秀林鄉秀林村</t>
    </r>
    <r>
      <rPr>
        <sz val="9"/>
        <rFont val="Calibri"/>
        <family val="2"/>
      </rPr>
      <t>62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和平國小和中分校校園內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</si>
  <si>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2017/10/12</t>
    </r>
    <r>
      <rPr>
        <sz val="9"/>
        <rFont val="Verdana"/>
        <family val="2"/>
      </rPr>
      <t>進行儀器汰換及短距離移位，於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</si>
  <si>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t>C0T9E0</t>
  </si>
  <si>
    <r>
      <rPr>
        <sz val="9"/>
        <rFont val="Verdana"/>
        <family val="2"/>
      </rPr>
      <t>壽豐鄉</t>
    </r>
    <r>
      <rPr>
        <sz val="9"/>
        <rFont val="Calibri"/>
        <family val="2"/>
      </rPr>
      <t>10</t>
    </r>
    <r>
      <rPr>
        <sz val="9"/>
        <rFont val="Verdana"/>
        <family val="2"/>
      </rPr>
      <t>鄰山嶺</t>
    </r>
    <r>
      <rPr>
        <sz val="9"/>
        <rFont val="Calibri"/>
        <family val="2"/>
      </rPr>
      <t>80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中華電信公司賀田山機房</t>
    </r>
    <r>
      <rPr>
        <sz val="9"/>
        <rFont val="Calibri"/>
        <family val="2"/>
      </rPr>
      <t>)</t>
    </r>
    <r>
      <rPr>
        <sz val="9"/>
        <rFont val="Verdana"/>
        <family val="2"/>
      </rPr>
      <t>旁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</si>
  <si>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2017/4/20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</si>
  <si>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水璉</t>
    </r>
  </si>
  <si>
    <t>C0T9F0</t>
  </si>
  <si>
    <t>251m</t>
  </si>
  <si>
    <r>
      <rPr>
        <sz val="9"/>
        <rFont val="Verdana"/>
        <family val="2"/>
      </rPr>
      <t>壽豐鄉水璉村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</si>
  <si>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2017/4/27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</si>
  <si>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鳳林山</t>
    </r>
  </si>
  <si>
    <t>C0T9G0</t>
  </si>
  <si>
    <t>605m</t>
  </si>
  <si>
    <r>
      <rPr>
        <sz val="9"/>
        <rFont val="Verdana"/>
        <family val="2"/>
      </rPr>
      <t>鳳林鎮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</si>
  <si>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2017/4/6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</si>
  <si>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加路蘭山</t>
    </r>
  </si>
  <si>
    <t>C0T9H0</t>
  </si>
  <si>
    <t>725m</t>
  </si>
  <si>
    <r>
      <rPr>
        <sz val="9"/>
        <rFont val="Verdana"/>
        <family val="2"/>
      </rPr>
      <t>豐濱鄉臨海段</t>
    </r>
    <r>
      <rPr>
        <sz val="9"/>
        <rFont val="Calibri"/>
        <family val="2"/>
      </rPr>
      <t>776-4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</si>
  <si>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2017/4/19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</si>
  <si>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豐濱</t>
    </r>
  </si>
  <si>
    <t>C0T9I0</t>
  </si>
  <si>
    <t>152m</t>
  </si>
  <si>
    <r>
      <rPr>
        <sz val="9"/>
        <rFont val="Verdana"/>
        <family val="2"/>
      </rPr>
      <t>豐濱鄉豐濱村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</si>
  <si>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2017/4/25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</si>
  <si>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靜浦</t>
    </r>
  </si>
  <si>
    <t>C0T9M0</t>
  </si>
  <si>
    <r>
      <rPr>
        <sz val="9"/>
        <rFont val="Verdana"/>
        <family val="2"/>
      </rPr>
      <t>豐濱鄉靜浦村活動中心後山上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</si>
  <si>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(C0S720)</t>
    </r>
    <r>
      <rPr>
        <sz val="9"/>
        <rFont val="Verdana"/>
        <family val="2"/>
      </rPr>
      <t>站因縣市代碼不符，於</t>
    </r>
    <r>
      <rPr>
        <sz val="9"/>
        <rFont val="Calibri"/>
        <family val="2"/>
      </rPr>
      <t>2008/2/25</t>
    </r>
    <r>
      <rPr>
        <sz val="9"/>
        <rFont val="Verdana"/>
        <family val="2"/>
      </rPr>
      <t>重新編碼為</t>
    </r>
    <r>
      <rPr>
        <sz val="9"/>
        <rFont val="Calibri"/>
        <family val="2"/>
      </rPr>
      <t>(C0T9M0)</t>
    </r>
    <r>
      <rPr>
        <sz val="9"/>
        <rFont val="Verdana"/>
        <family val="2"/>
      </rPr>
      <t>站。本站於</t>
    </r>
    <r>
      <rPr>
        <sz val="9"/>
        <rFont val="Calibri"/>
        <family val="2"/>
      </rPr>
      <t>2019/4/9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2019/6/7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</si>
  <si>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富里</t>
    </r>
  </si>
  <si>
    <t>C0T9N0</t>
  </si>
  <si>
    <t>261m</t>
  </si>
  <si>
    <r>
      <rPr>
        <sz val="9"/>
        <rFont val="Verdana"/>
        <family val="2"/>
      </rPr>
      <t>富里鄉永安街</t>
    </r>
    <r>
      <rPr>
        <sz val="9"/>
        <rFont val="Calibri"/>
        <family val="2"/>
      </rPr>
      <t>52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富里國小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</si>
  <si>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花蓮漁港</t>
    </r>
  </si>
  <si>
    <t>C0TA10</t>
  </si>
  <si>
    <r>
      <rPr>
        <sz val="9"/>
        <rFont val="Verdana"/>
        <family val="2"/>
      </rPr>
      <t>花蓮市港濱路</t>
    </r>
    <r>
      <rPr>
        <sz val="9"/>
        <rFont val="Calibri"/>
        <family val="2"/>
      </rPr>
      <t>41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</si>
  <si>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加灣</t>
    </r>
  </si>
  <si>
    <t>C0TA20</t>
  </si>
  <si>
    <r>
      <rPr>
        <sz val="9"/>
        <rFont val="Verdana"/>
        <family val="2"/>
      </rPr>
      <t>秀林鄉景美村加灣</t>
    </r>
    <r>
      <rPr>
        <sz val="9"/>
        <rFont val="Calibri"/>
        <family val="2"/>
      </rPr>
      <t>128-6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</si>
  <si>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鹽寮</t>
    </r>
  </si>
  <si>
    <t>C0TA30</t>
  </si>
  <si>
    <r>
      <rPr>
        <sz val="9"/>
        <rFont val="Verdana"/>
        <family val="2"/>
      </rPr>
      <t>壽豐鄉鹽寮村</t>
    </r>
  </si>
  <si>
    <r>
      <rPr>
        <sz val="9"/>
        <rFont val="Verdana"/>
        <family val="2"/>
      </rPr>
      <t>秀林</t>
    </r>
  </si>
  <si>
    <t>C0TA40</t>
  </si>
  <si>
    <t>930m</t>
  </si>
  <si>
    <r>
      <rPr>
        <sz val="9"/>
        <rFont val="Verdana"/>
        <family val="2"/>
      </rPr>
      <t>秀林鄉和平村</t>
    </r>
  </si>
  <si>
    <r>
      <rPr>
        <sz val="9"/>
        <rFont val="Verdana"/>
        <family val="2"/>
      </rPr>
      <t>和仁</t>
    </r>
  </si>
  <si>
    <t>C0TA50</t>
  </si>
  <si>
    <t>3m</t>
  </si>
  <si>
    <r>
      <rPr>
        <sz val="9"/>
        <rFont val="Verdana"/>
        <family val="2"/>
      </rPr>
      <t>秀林鄉和平村和仁</t>
    </r>
    <r>
      <rPr>
        <sz val="9"/>
        <rFont val="Calibri"/>
        <family val="2"/>
      </rPr>
      <t>71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</si>
  <si>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立霧山</t>
    </r>
  </si>
  <si>
    <t>C0TA80</t>
  </si>
  <si>
    <t>1108m</t>
  </si>
  <si>
    <r>
      <rPr>
        <sz val="9"/>
        <rFont val="Verdana"/>
        <family val="2"/>
      </rPr>
      <t>秀林鄉富世村</t>
    </r>
    <r>
      <rPr>
        <sz val="9"/>
        <rFont val="Calibri"/>
        <family val="2"/>
      </rPr>
      <t>352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</si>
  <si>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雙連埤</t>
    </r>
  </si>
  <si>
    <t>C0U520</t>
  </si>
  <si>
    <t>517m</t>
  </si>
  <si>
    <r>
      <rPr>
        <sz val="9"/>
        <rFont val="Verdana"/>
        <family val="2"/>
      </rPr>
      <t>宜蘭縣</t>
    </r>
  </si>
  <si>
    <r>
      <rPr>
        <sz val="9"/>
        <rFont val="Verdana"/>
        <family val="2"/>
      </rPr>
      <t>員山鄉雙連埤地區</t>
    </r>
    <r>
      <rPr>
        <sz val="9"/>
        <rFont val="Calibri"/>
        <family val="2"/>
      </rPr>
      <t>(</t>
    </r>
    <r>
      <rPr>
        <sz val="9"/>
        <rFont val="Verdana"/>
        <family val="2"/>
      </rPr>
      <t>需徒步</t>
    </r>
    <r>
      <rPr>
        <sz val="9"/>
        <rFont val="Calibri"/>
        <family val="2"/>
      </rPr>
      <t>20</t>
    </r>
    <r>
      <rPr>
        <sz val="9"/>
        <rFont val="Verdana"/>
        <family val="2"/>
      </rPr>
      <t>分鐘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</si>
  <si>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(C1U521)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2010/7/1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(C0U520)</t>
    </r>
    <r>
      <rPr>
        <sz val="9"/>
        <rFont val="Verdana"/>
        <family val="2"/>
      </rPr>
      <t>站，於</t>
    </r>
    <r>
      <rPr>
        <sz val="9"/>
        <rFont val="Calibri"/>
        <family val="2"/>
      </rPr>
      <t>2017/12/26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2018/3/23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</si>
  <si>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礁溪</t>
    </r>
  </si>
  <si>
    <t>C0U600</t>
  </si>
  <si>
    <r>
      <rPr>
        <sz val="9"/>
        <rFont val="Verdana"/>
        <family val="2"/>
      </rPr>
      <t>礁溪鄉礁溪路四段</t>
    </r>
    <r>
      <rPr>
        <sz val="9"/>
        <rFont val="Calibri"/>
        <family val="2"/>
      </rPr>
      <t>23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礁溪國民中學教室後宿舍旁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</si>
  <si>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2017/11/9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2018/3/23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</si>
  <si>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玉蘭</t>
    </r>
  </si>
  <si>
    <t>C0U650</t>
  </si>
  <si>
    <t>442m</t>
  </si>
  <si>
    <r>
      <rPr>
        <sz val="9"/>
        <rFont val="Verdana"/>
        <family val="2"/>
      </rPr>
      <t>大同鄉松羅村鹿場路</t>
    </r>
    <r>
      <rPr>
        <sz val="9"/>
        <rFont val="Calibri"/>
        <family val="2"/>
      </rPr>
      <t>11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往松羅山頂瞭望亭旁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</si>
  <si>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2017/10/9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</si>
  <si>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太平山</t>
    </r>
  </si>
  <si>
    <t>C0U710</t>
  </si>
  <si>
    <t>1942m</t>
  </si>
  <si>
    <r>
      <rPr>
        <sz val="9"/>
        <rFont val="Verdana"/>
        <family val="2"/>
      </rPr>
      <t>大同鄉太平山</t>
    </r>
    <r>
      <rPr>
        <sz val="9"/>
        <rFont val="Calibri"/>
        <family val="2"/>
      </rPr>
      <t>93</t>
    </r>
    <r>
      <rPr>
        <sz val="9"/>
        <rFont val="Verdana"/>
        <family val="2"/>
      </rPr>
      <t>林班地</t>
    </r>
    <r>
      <rPr>
        <sz val="9"/>
        <rFont val="Calibri"/>
        <family val="2"/>
      </rPr>
      <t>(</t>
    </r>
    <r>
      <rPr>
        <sz val="9"/>
        <rFont val="Verdana"/>
        <family val="2"/>
      </rPr>
      <t>林務局路標</t>
    </r>
    <r>
      <rPr>
        <sz val="9"/>
        <rFont val="Calibri"/>
        <family val="2"/>
      </rPr>
      <t>22.3k</t>
    </r>
    <r>
      <rPr>
        <sz val="9"/>
        <rFont val="Verdana"/>
        <family val="2"/>
      </rPr>
      <t>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</si>
  <si>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2017/12/13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2018/3/23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</si>
  <si>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南山</t>
    </r>
  </si>
  <si>
    <t>C0U720</t>
  </si>
  <si>
    <t>1260m</t>
  </si>
  <si>
    <r>
      <rPr>
        <sz val="9"/>
        <rFont val="Verdana"/>
        <family val="2"/>
      </rPr>
      <t>大同鄉南山村</t>
    </r>
    <r>
      <rPr>
        <sz val="9"/>
        <rFont val="Calibri"/>
        <family val="2"/>
      </rPr>
      <t>4</t>
    </r>
    <r>
      <rPr>
        <sz val="9"/>
        <rFont val="Verdana"/>
        <family val="2"/>
      </rPr>
      <t>鄰埤南巷</t>
    </r>
    <r>
      <rPr>
        <sz val="9"/>
        <rFont val="Calibri"/>
        <family val="2"/>
      </rPr>
      <t>31-3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南山國民小學內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</si>
  <si>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(C1U720)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2018/3/23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(C0U720)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</si>
  <si>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龜山島</t>
    </r>
  </si>
  <si>
    <t>C0U750</t>
  </si>
  <si>
    <t>398m</t>
  </si>
  <si>
    <r>
      <rPr>
        <sz val="9"/>
        <rFont val="Verdana"/>
        <family val="2"/>
      </rPr>
      <t>頭城鎮龜山島山頂</t>
    </r>
    <r>
      <rPr>
        <sz val="9"/>
        <rFont val="Calibri"/>
        <family val="2"/>
      </rPr>
      <t>401</t>
    </r>
    <r>
      <rPr>
        <sz val="9"/>
        <rFont val="Verdana"/>
        <family val="2"/>
      </rPr>
      <t>高地觀景台</t>
    </r>
  </si>
  <si>
    <r>
      <rPr>
        <sz val="9"/>
        <rFont val="Verdana"/>
        <family val="2"/>
      </rPr>
      <t>本站為觀光局所設，交由本署管理。本站於</t>
    </r>
    <r>
      <rPr>
        <sz val="9"/>
        <rFont val="Calibri"/>
        <family val="2"/>
      </rPr>
      <t>2017/11/24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2018/3/23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</si>
  <si>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東澳</t>
    </r>
  </si>
  <si>
    <t>C0U760</t>
  </si>
  <si>
    <r>
      <rPr>
        <sz val="9"/>
        <rFont val="Verdana"/>
        <family val="2"/>
      </rPr>
      <t>南澳鄉東岳村蘇花路三段</t>
    </r>
    <r>
      <rPr>
        <sz val="9"/>
        <rFont val="Calibri"/>
        <family val="2"/>
      </rPr>
      <t>209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東澳國小校園內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</si>
  <si>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2017/12/19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2018/3/23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</si>
  <si>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南澳</t>
    </r>
  </si>
  <si>
    <t>C0U770</t>
  </si>
  <si>
    <r>
      <rPr>
        <sz val="9"/>
        <rFont val="Verdana"/>
        <family val="2"/>
      </rPr>
      <t>南澳鄉中央氣象署地震中心系統維護課之南澳地震站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</si>
  <si>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2017/10/27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</si>
  <si>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五結</t>
    </r>
  </si>
  <si>
    <t>C0U780</t>
  </si>
  <si>
    <r>
      <rPr>
        <sz val="9"/>
        <rFont val="Verdana"/>
        <family val="2"/>
      </rPr>
      <t>五結鄉五結中路二段</t>
    </r>
    <r>
      <rPr>
        <sz val="9"/>
        <rFont val="Calibri"/>
        <family val="2"/>
      </rPr>
      <t>88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五結國小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</si>
  <si>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2017/10/13</t>
    </r>
    <r>
      <rPr>
        <sz val="9"/>
        <rFont val="Verdana"/>
        <family val="2"/>
      </rPr>
      <t>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</si>
  <si>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頭城</t>
    </r>
  </si>
  <si>
    <t>C0U860</t>
  </si>
  <si>
    <r>
      <rPr>
        <sz val="9"/>
        <rFont val="Verdana"/>
        <family val="2"/>
      </rPr>
      <t>頭城鎮協天路</t>
    </r>
    <r>
      <rPr>
        <sz val="9"/>
        <rFont val="Calibri"/>
        <family val="2"/>
      </rPr>
      <t>468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中華電信頭城海纜站內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</si>
  <si>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(C1U860)</t>
    </r>
    <r>
      <rPr>
        <sz val="9"/>
        <rFont val="Verdana"/>
        <family val="2"/>
      </rPr>
      <t>站因移位升氣，於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(C0U860)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</si>
  <si>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大礁溪</t>
    </r>
  </si>
  <si>
    <t>C0U870</t>
  </si>
  <si>
    <t>474m</t>
  </si>
  <si>
    <r>
      <rPr>
        <sz val="9"/>
        <rFont val="Verdana"/>
        <family val="2"/>
      </rPr>
      <t>礁溪鄉二結村一鄰</t>
    </r>
    <r>
      <rPr>
        <sz val="9"/>
        <rFont val="Calibri"/>
        <family val="2"/>
      </rPr>
      <t>9-1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國立宜蘭大學實驗林場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</si>
  <si>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(C1U610)</t>
    </r>
    <r>
      <rPr>
        <sz val="9"/>
        <rFont val="Verdana"/>
        <family val="2"/>
      </rPr>
      <t>站因移位升氣，於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(C0U870)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</si>
  <si>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北關</t>
    </r>
  </si>
  <si>
    <t>C0U880</t>
  </si>
  <si>
    <r>
      <rPr>
        <sz val="9"/>
        <rFont val="Verdana"/>
        <family val="2"/>
      </rPr>
      <t>頭城鎮濱海路三段</t>
    </r>
    <r>
      <rPr>
        <sz val="9"/>
        <rFont val="Calibri"/>
        <family val="2"/>
      </rPr>
      <t>(</t>
    </r>
    <r>
      <rPr>
        <sz val="9"/>
        <rFont val="Verdana"/>
        <family val="2"/>
      </rPr>
      <t>北關梗枋漁港北側路邊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</si>
  <si>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(C1U880)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2022/9/19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(C0U880)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</si>
  <si>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三星</t>
    </r>
  </si>
  <si>
    <t>C0U890</t>
  </si>
  <si>
    <t>116m</t>
  </si>
  <si>
    <r>
      <rPr>
        <sz val="9"/>
        <rFont val="Verdana"/>
        <family val="2"/>
      </rPr>
      <t>三星鄉月眉街</t>
    </r>
    <r>
      <rPr>
        <sz val="9"/>
        <rFont val="Calibri"/>
        <family val="2"/>
      </rPr>
      <t>54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三星國中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</si>
  <si>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(C1U660)</t>
    </r>
    <r>
      <rPr>
        <sz val="9"/>
        <rFont val="Verdana"/>
        <family val="2"/>
      </rPr>
      <t>站因移位升氣，於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(C0U890)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</si>
  <si>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內城</t>
    </r>
  </si>
  <si>
    <t>C0U900</t>
  </si>
  <si>
    <t>63m</t>
  </si>
  <si>
    <r>
      <rPr>
        <sz val="9"/>
        <rFont val="Verdana"/>
        <family val="2"/>
      </rPr>
      <t>員山鄉內城路</t>
    </r>
    <r>
      <rPr>
        <sz val="9"/>
        <rFont val="Calibri"/>
        <family val="2"/>
      </rPr>
      <t>545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內城國民中小學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</si>
  <si>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(C1U630)</t>
    </r>
    <r>
      <rPr>
        <sz val="9"/>
        <rFont val="Verdana"/>
        <family val="2"/>
      </rPr>
      <t>站因移位升氣並更名，於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(C0U900)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</si>
  <si>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冬山</t>
    </r>
  </si>
  <si>
    <t>C0U910</t>
  </si>
  <si>
    <r>
      <rPr>
        <sz val="9"/>
        <rFont val="Verdana"/>
        <family val="2"/>
      </rPr>
      <t>冬山鄉冬山路</t>
    </r>
    <r>
      <rPr>
        <sz val="9"/>
        <rFont val="Calibri"/>
        <family val="2"/>
      </rPr>
      <t>98-5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冬山消防分隊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</si>
  <si>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(C0U680)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(C0U910)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</si>
  <si>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羅東</t>
    </r>
  </si>
  <si>
    <t>C0U940</t>
  </si>
  <si>
    <r>
      <rPr>
        <sz val="9"/>
        <rFont val="Verdana"/>
        <family val="2"/>
      </rPr>
      <t>羅東鎮羅東運動公園南側</t>
    </r>
    <r>
      <rPr>
        <sz val="9"/>
        <rFont val="Calibri"/>
        <family val="2"/>
      </rPr>
      <t>(</t>
    </r>
    <r>
      <rPr>
        <sz val="9"/>
        <rFont val="Verdana"/>
        <family val="2"/>
      </rPr>
      <t>北成路二段停車場旁自行車道入口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</si>
  <si>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鶯子嶺</t>
    </r>
  </si>
  <si>
    <t>C0U950</t>
  </si>
  <si>
    <t>1012m</t>
  </si>
  <si>
    <r>
      <rPr>
        <sz val="9"/>
        <rFont val="Verdana"/>
        <family val="2"/>
      </rPr>
      <t>頭城鎮鶯子嶺通信站區內</t>
    </r>
  </si>
  <si>
    <r>
      <rPr>
        <sz val="9"/>
        <rFont val="Verdana"/>
        <family val="2"/>
      </rPr>
      <t>翠峰湖</t>
    </r>
  </si>
  <si>
    <t>C0U960</t>
  </si>
  <si>
    <t>1885m</t>
  </si>
  <si>
    <r>
      <rPr>
        <sz val="9"/>
        <rFont val="Verdana"/>
        <family val="2"/>
      </rPr>
      <t>大同鄉太平山翠峰湖停車場木棧道旁</t>
    </r>
  </si>
  <si>
    <r>
      <rPr>
        <sz val="9"/>
        <rFont val="Verdana"/>
        <family val="2"/>
      </rPr>
      <t>大福</t>
    </r>
  </si>
  <si>
    <t>C0U970</t>
  </si>
  <si>
    <r>
      <rPr>
        <sz val="9"/>
        <rFont val="Verdana"/>
        <family val="2"/>
      </rPr>
      <t>壯圍鄉大福路一段</t>
    </r>
    <r>
      <rPr>
        <sz val="9"/>
        <rFont val="Calibri"/>
        <family val="2"/>
      </rPr>
      <t>62</t>
    </r>
    <r>
      <rPr>
        <sz val="9"/>
        <rFont val="Verdana"/>
        <family val="2"/>
      </rPr>
      <t>巷</t>
    </r>
    <r>
      <rPr>
        <sz val="9"/>
        <rFont val="Calibri"/>
        <family val="2"/>
      </rPr>
      <t>26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大福國小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</si>
  <si>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坪林石牌</t>
    </r>
  </si>
  <si>
    <t>C0U980</t>
  </si>
  <si>
    <t>573m</t>
  </si>
  <si>
    <r>
      <rPr>
        <sz val="9"/>
        <rFont val="Verdana"/>
        <family val="2"/>
      </rPr>
      <t>頭城鎮與新北市坪林區交界附近之國有林班地</t>
    </r>
    <r>
      <rPr>
        <sz val="9"/>
        <rFont val="Calibri"/>
        <family val="2"/>
      </rPr>
      <t>(</t>
    </r>
    <r>
      <rPr>
        <sz val="9"/>
        <rFont val="Verdana"/>
        <family val="2"/>
      </rPr>
      <t>位於坪林石牌附近山區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</si>
  <si>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員山</t>
    </r>
  </si>
  <si>
    <t>C0U990</t>
  </si>
  <si>
    <r>
      <rPr>
        <sz val="9"/>
        <rFont val="Verdana"/>
        <family val="2"/>
      </rPr>
      <t>員山鄉員山村復興路</t>
    </r>
    <r>
      <rPr>
        <sz val="9"/>
        <rFont val="Calibri"/>
        <family val="2"/>
      </rPr>
      <t>39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員山國小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</si>
  <si>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土場</t>
    </r>
  </si>
  <si>
    <t>C0UA00</t>
  </si>
  <si>
    <t>392m</t>
  </si>
  <si>
    <r>
      <rPr>
        <sz val="9"/>
        <rFont val="Verdana"/>
        <family val="2"/>
      </rPr>
      <t>大同鄉土場</t>
    </r>
  </si>
  <si>
    <r>
      <rPr>
        <sz val="9"/>
        <rFont val="Verdana"/>
        <family val="2"/>
      </rPr>
      <t>鴛鴦湖</t>
    </r>
  </si>
  <si>
    <t>C0UA10</t>
  </si>
  <si>
    <t>1711m</t>
  </si>
  <si>
    <r>
      <rPr>
        <sz val="9"/>
        <rFont val="Verdana"/>
        <family val="2"/>
      </rPr>
      <t>大同鄉</t>
    </r>
    <r>
      <rPr>
        <sz val="9"/>
        <rFont val="Calibri"/>
        <family val="2"/>
      </rPr>
      <t>100</t>
    </r>
    <r>
      <rPr>
        <sz val="9"/>
        <rFont val="Verdana"/>
        <family val="2"/>
      </rPr>
      <t>線林道約</t>
    </r>
    <r>
      <rPr>
        <sz val="9"/>
        <rFont val="Calibri"/>
        <family val="2"/>
      </rPr>
      <t>15K(</t>
    </r>
    <r>
      <rPr>
        <sz val="9"/>
        <rFont val="Verdana"/>
        <family val="2"/>
      </rPr>
      <t>太平山事業區</t>
    </r>
    <r>
      <rPr>
        <sz val="9"/>
        <rFont val="Calibri"/>
        <family val="2"/>
      </rPr>
      <t>32</t>
    </r>
    <r>
      <rPr>
        <sz val="9"/>
        <rFont val="Verdana"/>
        <family val="2"/>
      </rPr>
      <t>林班內，鴛鴦湖工作站旁空地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</si>
  <si>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多加屯</t>
    </r>
  </si>
  <si>
    <t>C0UA20</t>
  </si>
  <si>
    <t>2619m</t>
  </si>
  <si>
    <r>
      <rPr>
        <sz val="9"/>
        <rFont val="Verdana"/>
        <family val="2"/>
      </rPr>
      <t>大同鄉南湖大山指標</t>
    </r>
    <r>
      <rPr>
        <sz val="9"/>
        <rFont val="Calibri"/>
        <family val="2"/>
      </rPr>
      <t>8.4K</t>
    </r>
    <r>
      <rPr>
        <sz val="9"/>
        <rFont val="Verdana"/>
        <family val="2"/>
      </rPr>
      <t>處</t>
    </r>
    <r>
      <rPr>
        <sz val="9"/>
        <rFont val="Calibri"/>
        <family val="2"/>
      </rPr>
      <t>(</t>
    </r>
    <r>
      <rPr>
        <sz val="9"/>
        <rFont val="Verdana"/>
        <family val="2"/>
      </rPr>
      <t>多加屯避難山屋附近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</si>
  <si>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白嶺</t>
    </r>
  </si>
  <si>
    <t>C0UA30</t>
  </si>
  <si>
    <t>1397m</t>
  </si>
  <si>
    <r>
      <rPr>
        <sz val="9"/>
        <rFont val="Verdana"/>
        <family val="2"/>
      </rPr>
      <t>大同鄉太平山白嶺苗圃內</t>
    </r>
  </si>
  <si>
    <r>
      <rPr>
        <sz val="9"/>
        <rFont val="Verdana"/>
        <family val="2"/>
      </rPr>
      <t>西德山</t>
    </r>
  </si>
  <si>
    <t>C0UA40</t>
  </si>
  <si>
    <t>1121m</t>
  </si>
  <si>
    <r>
      <rPr>
        <sz val="9"/>
        <rFont val="Verdana"/>
        <family val="2"/>
      </rPr>
      <t>南澳鄉安平坑林道</t>
    </r>
    <r>
      <rPr>
        <sz val="9"/>
        <rFont val="Calibri"/>
        <family val="2"/>
      </rPr>
      <t>(</t>
    </r>
    <r>
      <rPr>
        <sz val="9"/>
        <rFont val="Verdana"/>
        <family val="2"/>
      </rPr>
      <t>力霸產業道路</t>
    </r>
    <r>
      <rPr>
        <sz val="9"/>
        <rFont val="Calibri"/>
        <family val="2"/>
      </rPr>
      <t>)</t>
    </r>
    <r>
      <rPr>
        <sz val="9"/>
        <rFont val="Verdana"/>
        <family val="2"/>
      </rPr>
      <t>附近山區</t>
    </r>
    <r>
      <rPr>
        <sz val="9"/>
        <rFont val="Calibri"/>
        <family val="2"/>
      </rPr>
      <t>(</t>
    </r>
    <r>
      <rPr>
        <sz val="9"/>
        <rFont val="Verdana"/>
        <family val="2"/>
      </rPr>
      <t>南澳事業區</t>
    </r>
    <r>
      <rPr>
        <sz val="9"/>
        <rFont val="Calibri"/>
        <family val="2"/>
      </rPr>
      <t>28</t>
    </r>
    <r>
      <rPr>
        <sz val="9"/>
        <rFont val="Verdana"/>
        <family val="2"/>
      </rPr>
      <t>林班內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</si>
  <si>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西帽山</t>
    </r>
  </si>
  <si>
    <t>C0UA50</t>
  </si>
  <si>
    <t>808m</t>
  </si>
  <si>
    <r>
      <rPr>
        <sz val="9"/>
        <rFont val="Verdana"/>
        <family val="2"/>
      </rPr>
      <t>南澳鄉台泥大白山運石道附近山區</t>
    </r>
    <r>
      <rPr>
        <sz val="9"/>
        <rFont val="Calibri"/>
        <family val="2"/>
      </rPr>
      <t>(</t>
    </r>
    <r>
      <rPr>
        <sz val="9"/>
        <rFont val="Verdana"/>
        <family val="2"/>
      </rPr>
      <t>羅東事業區</t>
    </r>
    <r>
      <rPr>
        <sz val="9"/>
        <rFont val="Calibri"/>
        <family val="2"/>
      </rPr>
      <t>96</t>
    </r>
    <r>
      <rPr>
        <sz val="9"/>
        <rFont val="Verdana"/>
        <family val="2"/>
      </rPr>
      <t>林班內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</si>
  <si>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樟樹山</t>
    </r>
  </si>
  <si>
    <t>C0UA60</t>
  </si>
  <si>
    <t>566m</t>
  </si>
  <si>
    <r>
      <rPr>
        <sz val="9"/>
        <rFont val="Verdana"/>
        <family val="2"/>
      </rPr>
      <t>南澳鄉武塔村樟樹山附近山區</t>
    </r>
  </si>
  <si>
    <r>
      <rPr>
        <sz val="9"/>
        <rFont val="Verdana"/>
        <family val="2"/>
      </rPr>
      <t>桃源谷</t>
    </r>
  </si>
  <si>
    <t>C0UA70</t>
  </si>
  <si>
    <t>547m</t>
  </si>
  <si>
    <r>
      <rPr>
        <sz val="9"/>
        <rFont val="Verdana"/>
        <family val="2"/>
      </rPr>
      <t>頭城鎮及新北市貢寮區交界之桃源谷附近空地</t>
    </r>
  </si>
  <si>
    <r>
      <rPr>
        <sz val="9"/>
        <rFont val="Verdana"/>
        <family val="2"/>
      </rPr>
      <t>大溪漁港</t>
    </r>
  </si>
  <si>
    <t>C0UA80</t>
  </si>
  <si>
    <r>
      <rPr>
        <sz val="9"/>
        <rFont val="Verdana"/>
        <family val="2"/>
      </rPr>
      <t>頭城鎮大溪里濱海路</t>
    </r>
    <r>
      <rPr>
        <sz val="9"/>
        <rFont val="Calibri"/>
        <family val="2"/>
      </rPr>
      <t>5</t>
    </r>
    <r>
      <rPr>
        <sz val="9"/>
        <rFont val="Verdana"/>
        <family val="2"/>
      </rPr>
      <t>段</t>
    </r>
    <r>
      <rPr>
        <sz val="9"/>
        <rFont val="Calibri"/>
        <family val="2"/>
      </rPr>
      <t>492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大溪安檢所樓頂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</si>
  <si>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石城</t>
    </r>
  </si>
  <si>
    <t>C0UA90</t>
  </si>
  <si>
    <r>
      <rPr>
        <sz val="9"/>
        <rFont val="Verdana"/>
        <family val="2"/>
      </rPr>
      <t>頭城鎮石城路</t>
    </r>
    <r>
      <rPr>
        <sz val="9"/>
        <rFont val="Calibri"/>
        <family val="2"/>
      </rPr>
      <t>85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石城執檢站樓頂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</si>
  <si>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淡江大學蘭陽校園</t>
    </r>
  </si>
  <si>
    <t>C0UB00</t>
  </si>
  <si>
    <r>
      <rPr>
        <sz val="9"/>
        <rFont val="Verdana"/>
        <family val="2"/>
      </rPr>
      <t>礁溪鄉林尾路</t>
    </r>
    <r>
      <rPr>
        <sz val="9"/>
        <rFont val="Calibri"/>
        <family val="2"/>
      </rPr>
      <t>180</t>
    </r>
    <r>
      <rPr>
        <sz val="9"/>
        <rFont val="Verdana"/>
        <family val="2"/>
      </rPr>
      <t>號（淡江大學蘭陽校園內）</t>
    </r>
  </si>
  <si>
    <r>
      <rPr>
        <sz val="9"/>
        <rFont val="Verdana"/>
        <family val="2"/>
      </rPr>
      <t>蘇澳</t>
    </r>
  </si>
  <si>
    <t>C0UB10</t>
  </si>
  <si>
    <r>
      <rPr>
        <sz val="9"/>
        <rFont val="Verdana"/>
        <family val="2"/>
      </rPr>
      <t>蘇澳鎮港區路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6</t>
    </r>
    <r>
      <rPr>
        <sz val="9"/>
        <rFont val="Verdana"/>
        <family val="2"/>
      </rPr>
      <t>樓</t>
    </r>
    <r>
      <rPr>
        <sz val="9"/>
        <rFont val="Calibri"/>
        <family val="2"/>
      </rPr>
      <t>(</t>
    </r>
    <r>
      <rPr>
        <sz val="9"/>
        <rFont val="Verdana"/>
        <family val="2"/>
      </rPr>
      <t>蘇澳港行政大樓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</si>
  <si>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(467060)</t>
    </r>
    <r>
      <rPr>
        <sz val="9"/>
        <rFont val="Verdana"/>
        <family val="2"/>
      </rPr>
      <t>站於</t>
    </r>
    <r>
      <rPr>
        <sz val="9"/>
        <rFont val="Calibri"/>
        <family val="2"/>
      </rPr>
      <t>2023/04/01</t>
    </r>
    <r>
      <rPr>
        <sz val="9"/>
        <rFont val="Verdana"/>
        <family val="2"/>
      </rPr>
      <t>起變更站碼為</t>
    </r>
    <r>
      <rPr>
        <sz val="9"/>
        <rFont val="Calibri"/>
        <family val="2"/>
      </rPr>
      <t>(C0UB10)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</si>
  <si>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壯圍</t>
    </r>
  </si>
  <si>
    <t>C0UB20</t>
  </si>
  <si>
    <r>
      <rPr>
        <sz val="9"/>
        <rFont val="Verdana"/>
        <family val="2"/>
      </rPr>
      <t>壯圍鄉紅葉路</t>
    </r>
    <r>
      <rPr>
        <sz val="9"/>
        <rFont val="Calibri"/>
        <family val="2"/>
      </rPr>
      <t>69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</si>
  <si>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明池</t>
    </r>
  </si>
  <si>
    <t>C0UB60</t>
  </si>
  <si>
    <t>1163m</t>
  </si>
  <si>
    <r>
      <rPr>
        <sz val="9"/>
        <rFont val="Verdana"/>
        <family val="2"/>
      </rPr>
      <t>大同鄉明池段</t>
    </r>
    <r>
      <rPr>
        <sz val="9"/>
        <rFont val="Calibri"/>
        <family val="2"/>
      </rPr>
      <t>45-3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</si>
  <si>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太平山中間站</t>
    </r>
  </si>
  <si>
    <t>C0UB70</t>
  </si>
  <si>
    <t>890m</t>
  </si>
  <si>
    <r>
      <rPr>
        <sz val="9"/>
        <rFont val="Verdana"/>
        <family val="2"/>
      </rPr>
      <t>大同鄉土場段</t>
    </r>
    <r>
      <rPr>
        <sz val="9"/>
        <rFont val="Calibri"/>
        <family val="2"/>
      </rPr>
      <t>35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</si>
  <si>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翠峰林道</t>
    </r>
    <r>
      <rPr>
        <sz val="9"/>
        <rFont val="Calibri"/>
        <family val="2"/>
      </rPr>
      <t>6K</t>
    </r>
  </si>
  <si>
    <t>C0UB80</t>
  </si>
  <si>
    <t>1981m</t>
  </si>
  <si>
    <r>
      <rPr>
        <sz val="9"/>
        <rFont val="Verdana"/>
        <family val="2"/>
      </rPr>
      <t>大同鄉平元段</t>
    </r>
    <r>
      <rPr>
        <sz val="9"/>
        <rFont val="Calibri"/>
        <family val="2"/>
      </rPr>
      <t>15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</si>
  <si>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太平山莊</t>
    </r>
  </si>
  <si>
    <t>C0UB90</t>
  </si>
  <si>
    <t>1925m</t>
  </si>
  <si>
    <r>
      <rPr>
        <sz val="9"/>
        <rFont val="Verdana"/>
        <family val="2"/>
      </rPr>
      <t>大同鄉太平山段</t>
    </r>
    <r>
      <rPr>
        <sz val="9"/>
        <rFont val="Calibri"/>
        <family val="2"/>
      </rPr>
      <t>10</t>
    </r>
    <r>
      <rPr>
        <sz val="9"/>
        <rFont val="Verdana"/>
        <family val="2"/>
      </rPr>
      <t>地號</t>
    </r>
  </si>
  <si>
    <t>C0V210</t>
  </si>
  <si>
    <t>734m</t>
  </si>
  <si>
    <r>
      <rPr>
        <sz val="9"/>
        <rFont val="Verdana"/>
        <family val="2"/>
      </rPr>
      <t>高雄市</t>
    </r>
  </si>
  <si>
    <r>
      <rPr>
        <sz val="9"/>
        <rFont val="Verdana"/>
        <family val="2"/>
      </rPr>
      <t>桃源區復興里復興巷</t>
    </r>
    <r>
      <rPr>
        <sz val="9"/>
        <rFont val="Calibri"/>
        <family val="2"/>
      </rPr>
      <t>1</t>
    </r>
    <r>
      <rPr>
        <sz val="9"/>
        <rFont val="Verdana"/>
        <family val="2"/>
      </rPr>
      <t>鄰</t>
    </r>
    <r>
      <rPr>
        <sz val="9"/>
        <rFont val="Calibri"/>
        <family val="2"/>
      </rPr>
      <t>15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</si>
  <si>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(C1V210)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2013/4/18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(C0V210)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</si>
  <si>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溪埔</t>
    </r>
  </si>
  <si>
    <t>C0V350</t>
  </si>
  <si>
    <t>36m</t>
  </si>
  <si>
    <r>
      <rPr>
        <sz val="9"/>
        <rFont val="Verdana"/>
        <family val="2"/>
      </rPr>
      <t>大樹區溪埔里之台</t>
    </r>
    <r>
      <rPr>
        <sz val="9"/>
        <rFont val="Calibri"/>
        <family val="2"/>
      </rPr>
      <t>29</t>
    </r>
    <r>
      <rPr>
        <sz val="9"/>
        <rFont val="Verdana"/>
        <family val="2"/>
      </rPr>
      <t>線近</t>
    </r>
    <r>
      <rPr>
        <sz val="9"/>
        <rFont val="Calibri"/>
        <family val="2"/>
      </rPr>
      <t>83K</t>
    </r>
    <r>
      <rPr>
        <sz val="9"/>
        <rFont val="Verdana"/>
        <family val="2"/>
      </rPr>
      <t>處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</si>
  <si>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(C1V350)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(C0V350)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</si>
  <si>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內門</t>
    </r>
  </si>
  <si>
    <t>C0V360</t>
  </si>
  <si>
    <t>94m</t>
  </si>
  <si>
    <r>
      <rPr>
        <sz val="9"/>
        <rFont val="Verdana"/>
        <family val="2"/>
      </rPr>
      <t>內門區木柵里木柵</t>
    </r>
    <r>
      <rPr>
        <sz val="9"/>
        <rFont val="Calibri"/>
        <family val="2"/>
      </rPr>
      <t>3</t>
    </r>
    <r>
      <rPr>
        <sz val="9"/>
        <rFont val="Verdana"/>
        <family val="2"/>
      </rPr>
      <t>號（木柵國民小學）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</si>
  <si>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(C1V360)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(C0V360)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</si>
  <si>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古亭坑</t>
    </r>
  </si>
  <si>
    <t>C0V370</t>
  </si>
  <si>
    <r>
      <rPr>
        <sz val="9"/>
        <rFont val="Verdana"/>
        <family val="2"/>
      </rPr>
      <t>田寮區古亭里</t>
    </r>
  </si>
  <si>
    <r>
      <rPr>
        <sz val="9"/>
        <rFont val="Verdana"/>
        <family val="2"/>
      </rPr>
      <t>本站因儀器汰換，自</t>
    </r>
    <r>
      <rPr>
        <sz val="9"/>
        <rFont val="Calibri"/>
        <family val="2"/>
      </rPr>
      <t>2013/8/31</t>
    </r>
    <r>
      <rPr>
        <sz val="9"/>
        <rFont val="Verdana"/>
        <family val="2"/>
      </rPr>
      <t>起暫停資料提供，並於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</si>
  <si>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阿公店</t>
    </r>
  </si>
  <si>
    <t>C0V400</t>
  </si>
  <si>
    <r>
      <rPr>
        <sz val="9"/>
        <rFont val="Verdana"/>
        <family val="2"/>
      </rPr>
      <t>燕巢區西燕里工程路</t>
    </r>
    <r>
      <rPr>
        <sz val="9"/>
        <rFont val="Calibri"/>
        <family val="2"/>
      </rPr>
      <t>1</t>
    </r>
    <r>
      <rPr>
        <sz val="9"/>
        <rFont val="Verdana"/>
        <family val="2"/>
      </rPr>
      <t>號（阿公店水庫內）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</si>
  <si>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(C1V400)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(C0V400)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</si>
  <si>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鳳山</t>
    </r>
  </si>
  <si>
    <t>C0V440</t>
  </si>
  <si>
    <r>
      <rPr>
        <sz val="9"/>
        <rFont val="Verdana"/>
        <family val="2"/>
      </rPr>
      <t>鳳山區文山路園藝巷</t>
    </r>
    <r>
      <rPr>
        <sz val="9"/>
        <rFont val="Calibri"/>
        <family val="2"/>
      </rPr>
      <t>4</t>
    </r>
    <r>
      <rPr>
        <sz val="9"/>
        <rFont val="Verdana"/>
        <family val="2"/>
      </rPr>
      <t>號（鳳山熱帶園藝試驗分所）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</si>
  <si>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(C1V440)</t>
    </r>
    <r>
      <rPr>
        <sz val="9"/>
        <rFont val="Verdana"/>
        <family val="2"/>
      </rPr>
      <t>站因移位及擴充為氣象，於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(C0V440)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</si>
  <si>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鳳森</t>
    </r>
  </si>
  <si>
    <t>C0V450</t>
  </si>
  <si>
    <r>
      <rPr>
        <sz val="9"/>
        <rFont val="Verdana"/>
        <family val="2"/>
      </rPr>
      <t>小港區水庫段</t>
    </r>
    <r>
      <rPr>
        <sz val="9"/>
        <rFont val="Calibri"/>
        <family val="2"/>
      </rPr>
      <t>96-1</t>
    </r>
    <r>
      <rPr>
        <sz val="9"/>
        <rFont val="Verdana"/>
        <family val="2"/>
      </rPr>
      <t>地號（鳳山給水廠內）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</si>
  <si>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(C1V451)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(C0V450)</t>
    </r>
    <r>
      <rPr>
        <sz val="9"/>
        <rFont val="Verdana"/>
        <family val="2"/>
      </rPr>
      <t>站。於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完成儀器汰換</t>
    </r>
  </si>
  <si>
    <r>
      <rPr>
        <sz val="9"/>
        <rFont val="Verdana"/>
        <family val="2"/>
      </rPr>
      <t>新興</t>
    </r>
  </si>
  <si>
    <t>C0V490</t>
  </si>
  <si>
    <r>
      <rPr>
        <sz val="9"/>
        <rFont val="Verdana"/>
        <family val="2"/>
      </rPr>
      <t>新興區大同一路</t>
    </r>
    <r>
      <rPr>
        <sz val="9"/>
        <rFont val="Calibri"/>
        <family val="2"/>
      </rPr>
      <t>231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大同國小內</t>
    </r>
    <r>
      <rPr>
        <sz val="9"/>
        <rFont val="Calibri"/>
        <family val="2"/>
      </rPr>
      <t>5</t>
    </r>
    <r>
      <rPr>
        <sz val="9"/>
        <rFont val="Verdana"/>
        <family val="2"/>
      </rPr>
      <t>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</si>
  <si>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2013/9/12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完成驗收。於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完成儀器汰換。</t>
    </r>
  </si>
  <si>
    <r>
      <rPr>
        <sz val="9"/>
        <rFont val="Verdana"/>
        <family val="2"/>
      </rPr>
      <t>阿蓮</t>
    </r>
  </si>
  <si>
    <t>C0V530</t>
  </si>
  <si>
    <r>
      <rPr>
        <sz val="9"/>
        <rFont val="Verdana"/>
        <family val="2"/>
      </rPr>
      <t>阿蓮區阿蓮里民生路</t>
    </r>
    <r>
      <rPr>
        <sz val="9"/>
        <rFont val="Calibri"/>
        <family val="2"/>
      </rPr>
      <t>94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阿蓮區公所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</si>
  <si>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(C1V530)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(C0V530)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</si>
  <si>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梓官</t>
    </r>
  </si>
  <si>
    <t>C0V610</t>
  </si>
  <si>
    <r>
      <rPr>
        <sz val="9"/>
        <rFont val="Verdana"/>
        <family val="2"/>
      </rPr>
      <t>梓官區梓官路</t>
    </r>
    <r>
      <rPr>
        <sz val="9"/>
        <rFont val="Calibri"/>
        <family val="2"/>
      </rPr>
      <t>258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梓官區公所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</si>
  <si>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永安</t>
    </r>
  </si>
  <si>
    <t>C0V620</t>
  </si>
  <si>
    <r>
      <rPr>
        <sz val="9"/>
        <rFont val="Verdana"/>
        <family val="2"/>
      </rPr>
      <t>永安區永安路</t>
    </r>
    <r>
      <rPr>
        <sz val="9"/>
        <rFont val="Calibri"/>
        <family val="2"/>
      </rPr>
      <t>32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永安消防分隊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</si>
  <si>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茄萣</t>
    </r>
  </si>
  <si>
    <t>C0V630</t>
  </si>
  <si>
    <r>
      <rPr>
        <sz val="9"/>
        <rFont val="Verdana"/>
        <family val="2"/>
      </rPr>
      <t>茄萣區濱海路四段</t>
    </r>
    <r>
      <rPr>
        <sz val="9"/>
        <rFont val="Calibri"/>
        <family val="2"/>
      </rPr>
      <t>27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茄萣區公所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</si>
  <si>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湖內</t>
    </r>
  </si>
  <si>
    <t>C0V640</t>
  </si>
  <si>
    <r>
      <rPr>
        <sz val="9"/>
        <rFont val="Verdana"/>
        <family val="2"/>
      </rPr>
      <t>湖內區中山路一段</t>
    </r>
    <r>
      <rPr>
        <sz val="9"/>
        <rFont val="Calibri"/>
        <family val="2"/>
      </rPr>
      <t>290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湖街派出所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</si>
  <si>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彌陀</t>
    </r>
  </si>
  <si>
    <t>C0V650</t>
  </si>
  <si>
    <r>
      <rPr>
        <sz val="9"/>
        <rFont val="Verdana"/>
        <family val="2"/>
      </rPr>
      <t>彌陀區中正北路</t>
    </r>
    <r>
      <rPr>
        <sz val="9"/>
        <rFont val="Calibri"/>
        <family val="2"/>
      </rPr>
      <t>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彌陀消防分隊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</si>
  <si>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岡山</t>
    </r>
  </si>
  <si>
    <t>C0V660</t>
  </si>
  <si>
    <r>
      <rPr>
        <sz val="9"/>
        <rFont val="Verdana"/>
        <family val="2"/>
      </rPr>
      <t>岡山區岡山路</t>
    </r>
    <r>
      <rPr>
        <sz val="9"/>
        <rFont val="Calibri"/>
        <family val="2"/>
      </rPr>
      <t>341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岡山地政事務所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</si>
  <si>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仁武</t>
    </r>
  </si>
  <si>
    <t>C0V680</t>
  </si>
  <si>
    <r>
      <rPr>
        <sz val="9"/>
        <rFont val="Verdana"/>
        <family val="2"/>
      </rPr>
      <t>仁武區中正路</t>
    </r>
    <r>
      <rPr>
        <sz val="9"/>
        <rFont val="Calibri"/>
        <family val="2"/>
      </rPr>
      <t>133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仁武區公所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</si>
  <si>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鼓山</t>
    </r>
  </si>
  <si>
    <t>C0V690</t>
  </si>
  <si>
    <r>
      <rPr>
        <sz val="9"/>
        <rFont val="Verdana"/>
        <family val="2"/>
      </rPr>
      <t>鼓山區臨海一路</t>
    </r>
    <r>
      <rPr>
        <sz val="9"/>
        <rFont val="Calibri"/>
        <family val="2"/>
      </rPr>
      <t>61-1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鼓山消防分隊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</si>
  <si>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三民</t>
    </r>
  </si>
  <si>
    <t>C0V700</t>
  </si>
  <si>
    <r>
      <rPr>
        <sz val="9"/>
        <rFont val="Verdana"/>
        <family val="2"/>
      </rPr>
      <t>三民區十全一路</t>
    </r>
    <r>
      <rPr>
        <sz val="9"/>
        <rFont val="Calibri"/>
        <family val="2"/>
      </rPr>
      <t>88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十全消防分隊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</si>
  <si>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苓雅</t>
    </r>
  </si>
  <si>
    <t>C0V710</t>
  </si>
  <si>
    <r>
      <rPr>
        <sz val="9"/>
        <rFont val="Verdana"/>
        <family val="2"/>
      </rPr>
      <t>苓雅區三多一路</t>
    </r>
    <r>
      <rPr>
        <sz val="9"/>
        <rFont val="Calibri"/>
        <family val="2"/>
      </rPr>
      <t>162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苓雅消防分隊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</si>
  <si>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林園</t>
    </r>
  </si>
  <si>
    <t>C0V720</t>
  </si>
  <si>
    <r>
      <rPr>
        <sz val="9"/>
        <rFont val="Verdana"/>
        <family val="2"/>
      </rPr>
      <t>林園區林園北路</t>
    </r>
    <r>
      <rPr>
        <sz val="9"/>
        <rFont val="Calibri"/>
        <family val="2"/>
      </rPr>
      <t>179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林園區公所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</si>
  <si>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大寮</t>
    </r>
  </si>
  <si>
    <t>C0V730</t>
  </si>
  <si>
    <r>
      <rPr>
        <sz val="9"/>
        <rFont val="Verdana"/>
        <family val="2"/>
      </rPr>
      <t>大寮區鳳林三路</t>
    </r>
    <r>
      <rPr>
        <sz val="9"/>
        <rFont val="Calibri"/>
        <family val="2"/>
      </rPr>
      <t>492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大寮區公所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</si>
  <si>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旗山</t>
    </r>
  </si>
  <si>
    <t>C0V740</t>
  </si>
  <si>
    <r>
      <rPr>
        <sz val="9"/>
        <rFont val="Verdana"/>
        <family val="2"/>
      </rPr>
      <t>旗山區延平一路</t>
    </r>
    <r>
      <rPr>
        <sz val="9"/>
        <rFont val="Calibri"/>
        <family val="2"/>
      </rPr>
      <t>499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旗山區公所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</si>
  <si>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路竹</t>
    </r>
  </si>
  <si>
    <t>C0V750</t>
  </si>
  <si>
    <r>
      <rPr>
        <sz val="9"/>
        <rFont val="Verdana"/>
        <family val="2"/>
      </rPr>
      <t>路竹區國昌路</t>
    </r>
    <r>
      <rPr>
        <sz val="9"/>
        <rFont val="Calibri"/>
        <family val="2"/>
      </rPr>
      <t>76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路竹區公所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</si>
  <si>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橋頭</t>
    </r>
  </si>
  <si>
    <t>C0V760</t>
  </si>
  <si>
    <r>
      <rPr>
        <sz val="9"/>
        <rFont val="Verdana"/>
        <family val="2"/>
      </rPr>
      <t>橋頭區隆豐路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橋頭區公所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</si>
  <si>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大社</t>
    </r>
  </si>
  <si>
    <t>C0V770</t>
  </si>
  <si>
    <r>
      <rPr>
        <sz val="9"/>
        <rFont val="Verdana"/>
        <family val="2"/>
      </rPr>
      <t>大社區自強街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大社區公所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</si>
  <si>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萬山</t>
    </r>
  </si>
  <si>
    <t>C0V790</t>
  </si>
  <si>
    <t>410m</t>
  </si>
  <si>
    <r>
      <rPr>
        <sz val="9"/>
        <rFont val="Verdana"/>
        <family val="2"/>
      </rPr>
      <t>茂林區萬山段</t>
    </r>
    <r>
      <rPr>
        <sz val="9"/>
        <rFont val="Calibri"/>
        <family val="2"/>
      </rPr>
      <t>710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</si>
  <si>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六龜</t>
    </r>
  </si>
  <si>
    <t>C0V800</t>
  </si>
  <si>
    <t>256m</t>
  </si>
  <si>
    <r>
      <rPr>
        <sz val="9"/>
        <rFont val="Verdana"/>
        <family val="2"/>
      </rPr>
      <t>六龜區民治路</t>
    </r>
    <r>
      <rPr>
        <sz val="9"/>
        <rFont val="Calibri"/>
        <family val="2"/>
      </rPr>
      <t>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六龜消防隊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</si>
  <si>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左營</t>
    </r>
  </si>
  <si>
    <t>C0V810</t>
  </si>
  <si>
    <r>
      <rPr>
        <sz val="9"/>
        <rFont val="Verdana"/>
        <family val="2"/>
      </rPr>
      <t>左營區左營大路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高雄市立海青高級工商職業學校資訊大樓樓頂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</si>
  <si>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小林</t>
    </r>
  </si>
  <si>
    <t>C0V820</t>
  </si>
  <si>
    <t>441m</t>
  </si>
  <si>
    <r>
      <rPr>
        <sz val="9"/>
        <rFont val="Verdana"/>
        <family val="2"/>
      </rPr>
      <t>甲仙區五里路</t>
    </r>
    <r>
      <rPr>
        <sz val="9"/>
        <rFont val="Calibri"/>
        <family val="2"/>
      </rPr>
      <t>24-2</t>
    </r>
    <r>
      <rPr>
        <sz val="9"/>
        <rFont val="Verdana"/>
        <family val="2"/>
      </rPr>
      <t>號（小林國小）</t>
    </r>
  </si>
  <si>
    <r>
      <rPr>
        <sz val="9"/>
        <rFont val="Verdana"/>
        <family val="2"/>
      </rPr>
      <t>鳳鼻頭</t>
    </r>
  </si>
  <si>
    <t>C0V840</t>
  </si>
  <si>
    <r>
      <rPr>
        <sz val="9"/>
        <rFont val="Verdana"/>
        <family val="2"/>
      </rPr>
      <t>小港區南星路</t>
    </r>
    <r>
      <rPr>
        <sz val="9"/>
        <rFont val="Calibri"/>
        <family val="2"/>
      </rPr>
      <t>107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</si>
  <si>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蚵仔寮</t>
    </r>
  </si>
  <si>
    <t>C0V850</t>
  </si>
  <si>
    <r>
      <rPr>
        <sz val="9"/>
        <rFont val="Verdana"/>
        <family val="2"/>
      </rPr>
      <t>梓官區信蚵里廣澤路</t>
    </r>
    <r>
      <rPr>
        <sz val="9"/>
        <rFont val="Calibri"/>
        <family val="2"/>
      </rPr>
      <t>100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</si>
  <si>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南寮</t>
    </r>
  </si>
  <si>
    <t>C0V860</t>
  </si>
  <si>
    <r>
      <rPr>
        <sz val="9"/>
        <rFont val="Verdana"/>
        <family val="2"/>
      </rPr>
      <t>彌陀區南寮里漁港</t>
    </r>
    <r>
      <rPr>
        <sz val="9"/>
        <rFont val="Calibri"/>
        <family val="2"/>
      </rPr>
      <t>1</t>
    </r>
    <r>
      <rPr>
        <sz val="9"/>
        <rFont val="Verdana"/>
        <family val="2"/>
      </rPr>
      <t>街</t>
    </r>
    <r>
      <rPr>
        <sz val="9"/>
        <rFont val="Calibri"/>
        <family val="2"/>
      </rPr>
      <t>62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</si>
  <si>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文安</t>
    </r>
  </si>
  <si>
    <t>C0V870</t>
  </si>
  <si>
    <r>
      <rPr>
        <sz val="9"/>
        <rFont val="Verdana"/>
        <family val="2"/>
      </rPr>
      <t>彌陀區舊港橫路</t>
    </r>
    <r>
      <rPr>
        <sz val="9"/>
        <rFont val="Calibri"/>
        <family val="2"/>
      </rPr>
      <t>87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</si>
  <si>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興達</t>
    </r>
  </si>
  <si>
    <t>C0V880</t>
  </si>
  <si>
    <r>
      <rPr>
        <sz val="9"/>
        <rFont val="Verdana"/>
        <family val="2"/>
      </rPr>
      <t>茄萣區順漁路</t>
    </r>
    <r>
      <rPr>
        <sz val="9"/>
        <rFont val="Calibri"/>
        <family val="2"/>
      </rPr>
      <t>100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</si>
  <si>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前鎮</t>
    </r>
  </si>
  <si>
    <t>C0V890</t>
  </si>
  <si>
    <r>
      <rPr>
        <sz val="9"/>
        <rFont val="Verdana"/>
        <family val="2"/>
      </rPr>
      <t>前鎮區漁港北二路</t>
    </r>
    <r>
      <rPr>
        <sz val="9"/>
        <rFont val="Calibri"/>
        <family val="2"/>
      </rPr>
      <t>5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</si>
  <si>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汕尾</t>
    </r>
  </si>
  <si>
    <t>C0V900</t>
  </si>
  <si>
    <t>6m</t>
  </si>
  <si>
    <r>
      <rPr>
        <sz val="9"/>
        <rFont val="Verdana"/>
        <family val="2"/>
      </rPr>
      <t>林園區</t>
    </r>
  </si>
  <si>
    <r>
      <rPr>
        <sz val="9"/>
        <rFont val="Verdana"/>
        <family val="2"/>
      </rPr>
      <t>大樹</t>
    </r>
  </si>
  <si>
    <t>C0V910</t>
  </si>
  <si>
    <r>
      <rPr>
        <sz val="9"/>
        <rFont val="Verdana"/>
        <family val="2"/>
      </rPr>
      <t>大樹區中正一路</t>
    </r>
    <r>
      <rPr>
        <sz val="9"/>
        <rFont val="Calibri"/>
        <family val="2"/>
      </rPr>
      <t>188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</si>
  <si>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東莒</t>
    </r>
  </si>
  <si>
    <t>C0W110</t>
  </si>
  <si>
    <r>
      <rPr>
        <sz val="9"/>
        <rFont val="Verdana"/>
        <family val="2"/>
      </rPr>
      <t>連江縣</t>
    </r>
  </si>
  <si>
    <r>
      <rPr>
        <sz val="9"/>
        <rFont val="Verdana"/>
        <family val="2"/>
      </rPr>
      <t>莒光鄉福正村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福正抽水機房，莒光遊客中心後方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</si>
  <si>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西嶼</t>
    </r>
  </si>
  <si>
    <t>C0W120</t>
  </si>
  <si>
    <r>
      <rPr>
        <sz val="9"/>
        <rFont val="Verdana"/>
        <family val="2"/>
      </rPr>
      <t>澎湖縣</t>
    </r>
  </si>
  <si>
    <r>
      <rPr>
        <sz val="9"/>
        <rFont val="Verdana"/>
        <family val="2"/>
      </rPr>
      <t>西嶼鄉</t>
    </r>
    <r>
      <rPr>
        <sz val="9"/>
        <rFont val="Calibri"/>
        <family val="2"/>
      </rPr>
      <t>195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西嶼燈塔西方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</si>
  <si>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花嶼</t>
    </r>
  </si>
  <si>
    <t>C0W130</t>
  </si>
  <si>
    <r>
      <rPr>
        <sz val="9"/>
        <rFont val="Verdana"/>
        <family val="2"/>
      </rPr>
      <t>望安鄉花嶼村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花嶼國民小學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</si>
  <si>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金沙</t>
    </r>
  </si>
  <si>
    <t>C0W140</t>
  </si>
  <si>
    <r>
      <rPr>
        <sz val="9"/>
        <rFont val="Verdana"/>
        <family val="2"/>
      </rPr>
      <t>金門縣</t>
    </r>
  </si>
  <si>
    <r>
      <rPr>
        <sz val="9"/>
        <rFont val="Verdana"/>
        <family val="2"/>
      </rPr>
      <t>金沙鎮環島北路四段</t>
    </r>
    <r>
      <rPr>
        <sz val="9"/>
        <rFont val="Calibri"/>
        <family val="2"/>
      </rPr>
      <t>465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金門縣自來水廠榮湖淨水場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</si>
  <si>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金寧</t>
    </r>
  </si>
  <si>
    <t>C0W150</t>
  </si>
  <si>
    <r>
      <rPr>
        <sz val="9"/>
        <rFont val="Verdana"/>
        <family val="2"/>
      </rPr>
      <t>金寧鄉頂林路</t>
    </r>
    <r>
      <rPr>
        <sz val="9"/>
        <rFont val="Calibri"/>
        <family val="2"/>
      </rPr>
      <t>315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金門縣消防局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</si>
  <si>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烏坵</t>
    </r>
  </si>
  <si>
    <t>C0W160</t>
  </si>
  <si>
    <r>
      <rPr>
        <sz val="9"/>
        <rFont val="Verdana"/>
        <family val="2"/>
      </rPr>
      <t>烏坵鄉</t>
    </r>
  </si>
  <si>
    <r>
      <rPr>
        <sz val="9"/>
        <rFont val="Verdana"/>
        <family val="2"/>
      </rPr>
      <t>七美</t>
    </r>
  </si>
  <si>
    <t>C0W180</t>
  </si>
  <si>
    <r>
      <rPr>
        <sz val="9"/>
        <rFont val="Verdana"/>
        <family val="2"/>
      </rPr>
      <t>雙心石滬風景區</t>
    </r>
  </si>
  <si>
    <r>
      <rPr>
        <sz val="9"/>
        <rFont val="Verdana"/>
        <family val="2"/>
      </rPr>
      <t>望安</t>
    </r>
  </si>
  <si>
    <t>C0W190</t>
  </si>
  <si>
    <t>52m</t>
  </si>
  <si>
    <r>
      <rPr>
        <sz val="9"/>
        <rFont val="Verdana"/>
        <family val="2"/>
      </rPr>
      <t>天台山風景區</t>
    </r>
  </si>
  <si>
    <r>
      <rPr>
        <sz val="9"/>
        <rFont val="Verdana"/>
        <family val="2"/>
      </rPr>
      <t>湖西</t>
    </r>
  </si>
  <si>
    <t>C0W200</t>
  </si>
  <si>
    <r>
      <rPr>
        <sz val="9"/>
        <rFont val="Verdana"/>
        <family val="2"/>
      </rPr>
      <t>摩西分海風景區</t>
    </r>
  </si>
  <si>
    <r>
      <rPr>
        <sz val="9"/>
        <rFont val="Verdana"/>
        <family val="2"/>
      </rPr>
      <t>北竿</t>
    </r>
  </si>
  <si>
    <t>C0W220</t>
  </si>
  <si>
    <r>
      <rPr>
        <sz val="9"/>
        <rFont val="Verdana"/>
        <family val="2"/>
      </rPr>
      <t>北竿鄉坂里村</t>
    </r>
    <r>
      <rPr>
        <sz val="9"/>
        <rFont val="Calibri"/>
        <family val="2"/>
      </rPr>
      <t>1-1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</si>
  <si>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九宮</t>
    </r>
  </si>
  <si>
    <t>C0W240</t>
  </si>
  <si>
    <r>
      <rPr>
        <sz val="9"/>
        <rFont val="Verdana"/>
        <family val="2"/>
      </rPr>
      <t>烈嶼鄉南塘</t>
    </r>
    <r>
      <rPr>
        <sz val="9"/>
        <rFont val="Calibri"/>
        <family val="2"/>
      </rPr>
      <t>1</t>
    </r>
    <r>
      <rPr>
        <sz val="9"/>
        <rFont val="Verdana"/>
        <family val="2"/>
      </rPr>
      <t>之</t>
    </r>
    <r>
      <rPr>
        <sz val="9"/>
        <rFont val="Calibri"/>
        <family val="2"/>
      </rPr>
      <t>27</t>
    </r>
    <r>
      <rPr>
        <sz val="9"/>
        <rFont val="Verdana"/>
        <family val="2"/>
      </rPr>
      <t>號</t>
    </r>
  </si>
  <si>
    <t>C0X050</t>
  </si>
  <si>
    <r>
      <rPr>
        <sz val="9"/>
        <rFont val="Verdana"/>
        <family val="2"/>
      </rPr>
      <t>東山區東河里</t>
    </r>
    <r>
      <rPr>
        <sz val="9"/>
        <rFont val="Calibri"/>
        <family val="2"/>
      </rPr>
      <t>54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東河水利工作站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</si>
  <si>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(C1X050)</t>
    </r>
    <r>
      <rPr>
        <sz val="9"/>
        <rFont val="Verdana"/>
        <family val="2"/>
      </rPr>
      <t>站因擴充為氣象站及移位，於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(C0X050)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</si>
  <si>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佳里</t>
    </r>
  </si>
  <si>
    <t>C0X080</t>
  </si>
  <si>
    <r>
      <rPr>
        <sz val="9"/>
        <rFont val="Verdana"/>
        <family val="2"/>
      </rPr>
      <t>佳里區西方之埔尾，近七股區之篤加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</si>
  <si>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2015/5/11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</si>
  <si>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臺南市北區</t>
    </r>
  </si>
  <si>
    <t>C0X100</t>
  </si>
  <si>
    <r>
      <rPr>
        <sz val="9"/>
        <rFont val="Verdana"/>
        <family val="2"/>
      </rPr>
      <t>北區文賢路</t>
    </r>
    <r>
      <rPr>
        <sz val="9"/>
        <rFont val="Calibri"/>
        <family val="2"/>
      </rPr>
      <t>678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和緯消防分隊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</si>
  <si>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臺南市南區</t>
    </r>
  </si>
  <si>
    <t>C0X110</t>
  </si>
  <si>
    <r>
      <rPr>
        <sz val="9"/>
        <rFont val="Verdana"/>
        <family val="2"/>
      </rPr>
      <t>南區明興路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南區區公所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</si>
  <si>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麻豆</t>
    </r>
  </si>
  <si>
    <t>C0X120</t>
  </si>
  <si>
    <r>
      <rPr>
        <sz val="9"/>
        <rFont val="Verdana"/>
        <family val="2"/>
      </rPr>
      <t>麻豆區興國路</t>
    </r>
    <r>
      <rPr>
        <sz val="9"/>
        <rFont val="Calibri"/>
        <family val="2"/>
      </rPr>
      <t>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麻豆消防分隊</t>
    </r>
    <r>
      <rPr>
        <sz val="9"/>
        <rFont val="Calibri"/>
        <family val="2"/>
      </rPr>
      <t>5</t>
    </r>
    <r>
      <rPr>
        <sz val="9"/>
        <rFont val="Verdana"/>
        <family val="2"/>
      </rPr>
      <t>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</si>
  <si>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官田</t>
    </r>
  </si>
  <si>
    <t>C0X130</t>
  </si>
  <si>
    <r>
      <rPr>
        <sz val="9"/>
        <rFont val="Verdana"/>
        <family val="2"/>
      </rPr>
      <t>官田區中山路一段</t>
    </r>
    <r>
      <rPr>
        <sz val="9"/>
        <rFont val="Calibri"/>
        <family val="2"/>
      </rPr>
      <t>132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官田區公所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</si>
  <si>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西港</t>
    </r>
  </si>
  <si>
    <t>C0X140</t>
  </si>
  <si>
    <r>
      <rPr>
        <sz val="9"/>
        <rFont val="Verdana"/>
        <family val="2"/>
      </rPr>
      <t>西港區中山路</t>
    </r>
    <r>
      <rPr>
        <sz val="9"/>
        <rFont val="Calibri"/>
        <family val="2"/>
      </rPr>
      <t>450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西港消防分隊</t>
    </r>
    <r>
      <rPr>
        <sz val="9"/>
        <rFont val="Calibri"/>
        <family val="2"/>
      </rPr>
      <t>4</t>
    </r>
    <r>
      <rPr>
        <sz val="9"/>
        <rFont val="Verdana"/>
        <family val="2"/>
      </rPr>
      <t>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</si>
  <si>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安定</t>
    </r>
  </si>
  <si>
    <t>C0X150</t>
  </si>
  <si>
    <r>
      <rPr>
        <sz val="9"/>
        <rFont val="Verdana"/>
        <family val="2"/>
      </rPr>
      <t>安定區南安里</t>
    </r>
    <r>
      <rPr>
        <sz val="9"/>
        <rFont val="Calibri"/>
        <family val="2"/>
      </rPr>
      <t>33-11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安定消防分隊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</si>
  <si>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仁德</t>
    </r>
  </si>
  <si>
    <t>C0X160</t>
  </si>
  <si>
    <r>
      <rPr>
        <sz val="9"/>
        <rFont val="Verdana"/>
        <family val="2"/>
      </rPr>
      <t>仁德區仁義路</t>
    </r>
    <r>
      <rPr>
        <sz val="9"/>
        <rFont val="Calibri"/>
        <family val="2"/>
      </rPr>
      <t>432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仁德消防分隊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</si>
  <si>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關廟</t>
    </r>
  </si>
  <si>
    <t>C0X170</t>
  </si>
  <si>
    <r>
      <rPr>
        <sz val="9"/>
        <rFont val="Verdana"/>
        <family val="2"/>
      </rPr>
      <t>關廟區中正路</t>
    </r>
    <r>
      <rPr>
        <sz val="9"/>
        <rFont val="Calibri"/>
        <family val="2"/>
      </rPr>
      <t>998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關廟區公所</t>
    </r>
    <r>
      <rPr>
        <sz val="9"/>
        <rFont val="Calibri"/>
        <family val="2"/>
      </rPr>
      <t>3</t>
    </r>
    <r>
      <rPr>
        <sz val="9"/>
        <rFont val="Verdana"/>
        <family val="2"/>
      </rPr>
      <t>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</si>
  <si>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山上</t>
    </r>
  </si>
  <si>
    <t>C0X180</t>
  </si>
  <si>
    <r>
      <rPr>
        <sz val="9"/>
        <rFont val="Verdana"/>
        <family val="2"/>
      </rPr>
      <t>山上區豐德里隙子口</t>
    </r>
    <r>
      <rPr>
        <sz val="9"/>
        <rFont val="Calibri"/>
        <family val="2"/>
      </rPr>
      <t>5</t>
    </r>
    <r>
      <rPr>
        <sz val="9"/>
        <rFont val="Verdana"/>
        <family val="2"/>
      </rPr>
      <t>之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中油豐德供油中心</t>
    </r>
    <r>
      <rPr>
        <sz val="9"/>
        <rFont val="Calibri"/>
        <family val="2"/>
      </rPr>
      <t>2</t>
    </r>
    <r>
      <rPr>
        <sz val="9"/>
        <rFont val="Verdana"/>
        <family val="2"/>
      </rPr>
      <t>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</si>
  <si>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安平</t>
    </r>
  </si>
  <si>
    <t>C0X190</t>
  </si>
  <si>
    <r>
      <rPr>
        <sz val="9"/>
        <rFont val="Verdana"/>
        <family val="2"/>
      </rPr>
      <t>安平區城平路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台江國家公園管理處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</si>
  <si>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左鎮</t>
    </r>
  </si>
  <si>
    <t>C0X200</t>
  </si>
  <si>
    <t>61m</t>
  </si>
  <si>
    <r>
      <rPr>
        <sz val="9"/>
        <rFont val="Verdana"/>
        <family val="2"/>
      </rPr>
      <t>左鎮區中正里</t>
    </r>
    <r>
      <rPr>
        <sz val="9"/>
        <rFont val="Calibri"/>
        <family val="2"/>
      </rPr>
      <t>171</t>
    </r>
    <r>
      <rPr>
        <sz val="9"/>
        <rFont val="Verdana"/>
        <family val="2"/>
      </rPr>
      <t>號之</t>
    </r>
    <r>
      <rPr>
        <sz val="9"/>
        <rFont val="Calibri"/>
        <family val="2"/>
      </rPr>
      <t>4(</t>
    </r>
    <r>
      <rPr>
        <sz val="9"/>
        <rFont val="Verdana"/>
        <family val="2"/>
      </rPr>
      <t>左鎮區公所</t>
    </r>
    <r>
      <rPr>
        <sz val="9"/>
        <rFont val="Calibri"/>
        <family val="2"/>
      </rPr>
      <t>)</t>
    </r>
  </si>
  <si>
    <r>
      <t>2016/10/18</t>
    </r>
    <r>
      <rPr>
        <sz val="9"/>
        <rFont val="Verdana"/>
        <family val="2"/>
      </rPr>
      <t>因公所施工暫時無法提供資料，</t>
    </r>
    <r>
      <rPr>
        <sz val="9"/>
        <rFont val="Calibri"/>
        <family val="2"/>
      </rPr>
      <t>2017/1/24</t>
    </r>
    <r>
      <rPr>
        <sz val="9"/>
        <rFont val="Verdana"/>
        <family val="2"/>
      </rPr>
      <t>完工。</t>
    </r>
  </si>
  <si>
    <r>
      <rPr>
        <sz val="9"/>
        <rFont val="Verdana"/>
        <family val="2"/>
      </rPr>
      <t>白河</t>
    </r>
  </si>
  <si>
    <t>C0X210</t>
  </si>
  <si>
    <r>
      <rPr>
        <sz val="9"/>
        <rFont val="Verdana"/>
        <family val="2"/>
      </rPr>
      <t>白河區中山路</t>
    </r>
    <r>
      <rPr>
        <sz val="9"/>
        <rFont val="Calibri"/>
        <family val="2"/>
      </rPr>
      <t>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白河消防分隊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</si>
  <si>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學甲</t>
    </r>
  </si>
  <si>
    <t>C0X220</t>
  </si>
  <si>
    <r>
      <rPr>
        <sz val="9"/>
        <rFont val="Verdana"/>
        <family val="2"/>
      </rPr>
      <t>學甲區華宗路</t>
    </r>
    <r>
      <rPr>
        <sz val="9"/>
        <rFont val="Calibri"/>
        <family val="2"/>
      </rPr>
      <t>313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學甲區公所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</si>
  <si>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鹽水</t>
    </r>
  </si>
  <si>
    <t>C0X230</t>
  </si>
  <si>
    <r>
      <rPr>
        <sz val="9"/>
        <rFont val="Verdana"/>
        <family val="2"/>
      </rPr>
      <t>鹽水區竹埔里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竹埔派出所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</si>
  <si>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關子嶺</t>
    </r>
  </si>
  <si>
    <t>C0X240</t>
  </si>
  <si>
    <t>394m</t>
  </si>
  <si>
    <r>
      <rPr>
        <sz val="9"/>
        <rFont val="Verdana"/>
        <family val="2"/>
      </rPr>
      <t>白河區關嶺里</t>
    </r>
    <r>
      <rPr>
        <sz val="9"/>
        <rFont val="Calibri"/>
        <family val="2"/>
      </rPr>
      <t>94-3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仙草國小關嶺分校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</si>
  <si>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2015/12/8</t>
    </r>
    <r>
      <rPr>
        <sz val="9"/>
        <rFont val="Verdana"/>
        <family val="2"/>
      </rPr>
      <t>短距離移位。本站於</t>
    </r>
    <r>
      <rPr>
        <sz val="9"/>
        <rFont val="Calibri"/>
        <family val="2"/>
      </rPr>
      <t>2015/11/23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2015/12/8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</si>
  <si>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新營</t>
    </r>
  </si>
  <si>
    <t>C0X250</t>
  </si>
  <si>
    <r>
      <rPr>
        <sz val="9"/>
        <rFont val="Verdana"/>
        <family val="2"/>
      </rPr>
      <t>新營區中正路</t>
    </r>
    <r>
      <rPr>
        <sz val="9"/>
        <rFont val="Calibri"/>
        <family val="2"/>
      </rPr>
      <t>30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南瀛親子館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</si>
  <si>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後壁</t>
    </r>
  </si>
  <si>
    <t>C0X260</t>
  </si>
  <si>
    <t>39m</t>
  </si>
  <si>
    <r>
      <rPr>
        <sz val="9"/>
        <rFont val="Verdana"/>
        <family val="2"/>
      </rPr>
      <t>後壁區後壁里</t>
    </r>
    <r>
      <rPr>
        <sz val="9"/>
        <rFont val="Calibri"/>
        <family val="2"/>
      </rPr>
      <t>129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後壁圖書館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</si>
  <si>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將軍</t>
    </r>
  </si>
  <si>
    <t>C0X280</t>
  </si>
  <si>
    <r>
      <rPr>
        <sz val="9"/>
        <rFont val="Verdana"/>
        <family val="2"/>
      </rPr>
      <t>將軍區將貴里</t>
    </r>
    <r>
      <rPr>
        <sz val="9"/>
        <rFont val="Calibri"/>
        <family val="2"/>
      </rPr>
      <t>58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將軍國小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</si>
  <si>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北門</t>
    </r>
  </si>
  <si>
    <t>C0X290</t>
  </si>
  <si>
    <r>
      <rPr>
        <sz val="9"/>
        <rFont val="Verdana"/>
        <family val="2"/>
      </rPr>
      <t>北門區北門里舊埕</t>
    </r>
    <r>
      <rPr>
        <sz val="9"/>
        <rFont val="Calibri"/>
        <family val="2"/>
      </rPr>
      <t>108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北門區公所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</si>
  <si>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鹿寮</t>
    </r>
  </si>
  <si>
    <t>C0X300</t>
  </si>
  <si>
    <t>70m</t>
  </si>
  <si>
    <r>
      <rPr>
        <sz val="9"/>
        <rFont val="Verdana"/>
        <family val="2"/>
      </rPr>
      <t>白河區崎內里</t>
    </r>
    <r>
      <rPr>
        <sz val="9"/>
        <rFont val="Calibri"/>
        <family val="2"/>
      </rPr>
      <t>12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鹿寮水庫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</si>
  <si>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柳營</t>
    </r>
  </si>
  <si>
    <t>C0X320</t>
  </si>
  <si>
    <r>
      <rPr>
        <sz val="9"/>
        <rFont val="Verdana"/>
        <family val="2"/>
      </rPr>
      <t>柳營區國道</t>
    </r>
    <r>
      <rPr>
        <sz val="9"/>
        <rFont val="Calibri"/>
        <family val="2"/>
      </rPr>
      <t>3</t>
    </r>
    <r>
      <rPr>
        <sz val="9"/>
        <rFont val="Verdana"/>
        <family val="2"/>
      </rPr>
      <t>號北上</t>
    </r>
    <r>
      <rPr>
        <sz val="9"/>
        <rFont val="Calibri"/>
        <family val="2"/>
      </rPr>
      <t>324.7K</t>
    </r>
    <r>
      <rPr>
        <sz val="9"/>
        <rFont val="Verdana"/>
        <family val="2"/>
      </rPr>
      <t>處</t>
    </r>
  </si>
  <si>
    <r>
      <rPr>
        <sz val="9"/>
        <rFont val="Verdana"/>
        <family val="2"/>
      </rPr>
      <t>明里</t>
    </r>
  </si>
  <si>
    <t>C0Z020</t>
  </si>
  <si>
    <t>211m</t>
  </si>
  <si>
    <r>
      <rPr>
        <sz val="9"/>
        <rFont val="Verdana"/>
        <family val="2"/>
      </rPr>
      <t>富里鄉明里村明里社區後方山上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</si>
  <si>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(C1Z020)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2010/7/1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(C0Z020)</t>
    </r>
    <r>
      <rPr>
        <sz val="9"/>
        <rFont val="Verdana"/>
        <family val="2"/>
      </rPr>
      <t>站。本站於</t>
    </r>
    <r>
      <rPr>
        <sz val="9"/>
        <rFont val="Calibri"/>
        <family val="2"/>
      </rPr>
      <t>2017/8/29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</si>
  <si>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佳心</t>
    </r>
  </si>
  <si>
    <t>C0Z050</t>
  </si>
  <si>
    <t>824m</t>
  </si>
  <si>
    <r>
      <rPr>
        <sz val="9"/>
        <rFont val="Verdana"/>
        <family val="2"/>
      </rPr>
      <t>卓溪鄉佳心</t>
    </r>
    <r>
      <rPr>
        <sz val="9"/>
        <rFont val="Calibri"/>
        <family val="2"/>
      </rPr>
      <t>(</t>
    </r>
    <r>
      <rPr>
        <sz val="9"/>
        <rFont val="Verdana"/>
        <family val="2"/>
      </rPr>
      <t>玉山國家公園內，距花蓮卓溪鄉南安遊客步行</t>
    </r>
    <r>
      <rPr>
        <sz val="9"/>
        <rFont val="Calibri"/>
        <family val="2"/>
      </rPr>
      <t>2.5</t>
    </r>
    <r>
      <rPr>
        <sz val="9"/>
        <rFont val="Verdana"/>
        <family val="2"/>
      </rPr>
      <t>時之日據時代派出所舊址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</si>
  <si>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2017/9/3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</si>
  <si>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玉里</t>
    </r>
  </si>
  <si>
    <t>C0Z061</t>
  </si>
  <si>
    <t>174m</t>
  </si>
  <si>
    <r>
      <rPr>
        <sz val="9"/>
        <rFont val="Verdana"/>
        <family val="2"/>
      </rPr>
      <t>玉里鎮樂合里新民</t>
    </r>
    <r>
      <rPr>
        <sz val="9"/>
        <rFont val="Calibri"/>
        <family val="2"/>
      </rPr>
      <t>41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樂合國小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</si>
  <si>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(C0Z060)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2008/2/20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(C0Z061)</t>
    </r>
    <r>
      <rPr>
        <sz val="9"/>
        <rFont val="Verdana"/>
        <family val="2"/>
      </rPr>
      <t>站。本站於</t>
    </r>
    <r>
      <rPr>
        <sz val="9"/>
        <rFont val="Calibri"/>
        <family val="2"/>
      </rPr>
      <t>2017/8/17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</si>
  <si>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舞鶴</t>
    </r>
  </si>
  <si>
    <t>C0Z070</t>
  </si>
  <si>
    <t>247m</t>
  </si>
  <si>
    <r>
      <rPr>
        <sz val="9"/>
        <rFont val="Verdana"/>
        <family val="2"/>
      </rPr>
      <t>瑞穗鄉舞鶴村加納納山三角點旁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</si>
  <si>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2017/6/21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</si>
  <si>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富源</t>
    </r>
  </si>
  <si>
    <t>C0Z080</t>
  </si>
  <si>
    <t>298m</t>
  </si>
  <si>
    <r>
      <rPr>
        <sz val="9"/>
        <rFont val="Verdana"/>
        <family val="2"/>
      </rPr>
      <t>光復鄉大豐村</t>
    </r>
    <r>
      <rPr>
        <sz val="9"/>
        <rFont val="Calibri"/>
        <family val="2"/>
      </rPr>
      <t>9</t>
    </r>
    <r>
      <rPr>
        <sz val="9"/>
        <rFont val="Verdana"/>
        <family val="2"/>
      </rPr>
      <t>鄰</t>
    </r>
    <r>
      <rPr>
        <sz val="9"/>
        <rFont val="Calibri"/>
        <family val="2"/>
      </rPr>
      <t>265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富源國中對面之半山腰上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</si>
  <si>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2017/6/19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</si>
  <si>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東華</t>
    </r>
  </si>
  <si>
    <t>C0Z100</t>
  </si>
  <si>
    <r>
      <rPr>
        <sz val="9"/>
        <rFont val="Verdana"/>
        <family val="2"/>
      </rPr>
      <t>壽豐鄉大學路二段</t>
    </r>
    <r>
      <rPr>
        <sz val="9"/>
        <rFont val="Calibri"/>
        <family val="2"/>
      </rPr>
      <t>1</t>
    </r>
    <r>
      <rPr>
        <sz val="9"/>
        <rFont val="Verdana"/>
        <family val="2"/>
      </rPr>
      <t>號（國立東華大學）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</si>
  <si>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2017/3/29</t>
    </r>
    <r>
      <rPr>
        <sz val="9"/>
        <rFont val="Verdana"/>
        <family val="2"/>
      </rPr>
      <t>起進行儀器汰換，於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</si>
  <si>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吉安光華</t>
    </r>
  </si>
  <si>
    <t>C0Z150</t>
  </si>
  <si>
    <r>
      <rPr>
        <sz val="9"/>
        <rFont val="Verdana"/>
        <family val="2"/>
      </rPr>
      <t>吉安鄉南濱路一段</t>
    </r>
    <r>
      <rPr>
        <sz val="9"/>
        <rFont val="Calibri"/>
        <family val="2"/>
      </rPr>
      <t>531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水資源回收中心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</si>
  <si>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鳳林</t>
    </r>
  </si>
  <si>
    <t>C0Z160</t>
  </si>
  <si>
    <t>124m</t>
  </si>
  <si>
    <r>
      <rPr>
        <sz val="9"/>
        <rFont val="Verdana"/>
        <family val="2"/>
      </rPr>
      <t>鳳林鎮信義路</t>
    </r>
    <r>
      <rPr>
        <sz val="9"/>
        <rFont val="Calibri"/>
        <family val="2"/>
      </rPr>
      <t>200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鳳林地政事務所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</si>
  <si>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(C1T930)</t>
    </r>
    <r>
      <rPr>
        <sz val="9"/>
        <rFont val="Verdana"/>
        <family val="2"/>
      </rPr>
      <t>站因移位及升級，於</t>
    </r>
    <r>
      <rPr>
        <sz val="9"/>
        <rFont val="Calibri"/>
        <family val="2"/>
      </rPr>
      <t>2017/6/3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(C0Z120)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</si>
  <si>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卓溪</t>
    </r>
  </si>
  <si>
    <t>C0Z170</t>
  </si>
  <si>
    <r>
      <rPr>
        <sz val="9"/>
        <rFont val="Verdana"/>
        <family val="2"/>
      </rPr>
      <t>卓溪鄉卓溪村中正</t>
    </r>
    <r>
      <rPr>
        <sz val="9"/>
        <rFont val="Calibri"/>
        <family val="2"/>
      </rPr>
      <t>67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花蓮縣卓溪鄉公所樓頂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</si>
  <si>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(C1Z010)</t>
    </r>
    <r>
      <rPr>
        <sz val="9"/>
        <rFont val="Verdana"/>
        <family val="2"/>
      </rPr>
      <t>站因移位升級，於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(C0Z170)</t>
    </r>
    <r>
      <rPr>
        <sz val="9"/>
        <rFont val="Verdana"/>
        <family val="2"/>
      </rPr>
      <t>站。</t>
    </r>
    <r>
      <rPr>
        <sz val="9"/>
        <rFont val="Calibri"/>
        <family val="2"/>
      </rPr>
      <t xml:space="preserve"> 2022/11/22</t>
    </r>
    <r>
      <rPr>
        <sz val="9"/>
        <rFont val="Verdana"/>
        <family val="2"/>
      </rPr>
      <t>舊站遷移</t>
    </r>
    <r>
      <rPr>
        <sz val="9"/>
        <rFont val="Calibri"/>
        <family val="2"/>
      </rPr>
      <t>(</t>
    </r>
    <r>
      <rPr>
        <sz val="9"/>
        <rFont val="Verdana"/>
        <family val="2"/>
      </rPr>
      <t>舊地址為卓溪鄉卓溪村中正路</t>
    </r>
    <r>
      <rPr>
        <sz val="9"/>
        <rFont val="Calibri"/>
        <family val="2"/>
      </rPr>
      <t>65-5</t>
    </r>
    <r>
      <rPr>
        <sz val="9"/>
        <rFont val="Verdana"/>
        <family val="2"/>
      </rPr>
      <t>號</t>
    </r>
    <r>
      <rPr>
        <sz val="9"/>
        <rFont val="Calibri"/>
        <family val="2"/>
      </rPr>
      <t>)</t>
    </r>
    <r>
      <rPr>
        <sz val="9"/>
        <rFont val="Verdana"/>
        <family val="2"/>
      </rPr>
      <t>，站碼不變，並於</t>
    </r>
    <r>
      <rPr>
        <sz val="9"/>
        <rFont val="Calibri"/>
        <family val="2"/>
      </rPr>
      <t>2022/12/20</t>
    </r>
    <r>
      <rPr>
        <sz val="9"/>
        <rFont val="Verdana"/>
        <family val="2"/>
      </rPr>
      <t>開始接續提供資料。</t>
    </r>
  </si>
  <si>
    <r>
      <rPr>
        <sz val="9"/>
        <rFont val="Verdana"/>
        <family val="2"/>
      </rPr>
      <t>新城</t>
    </r>
  </si>
  <si>
    <t>C0Z180</t>
  </si>
  <si>
    <r>
      <rPr>
        <sz val="9"/>
        <rFont val="Verdana"/>
        <family val="2"/>
      </rPr>
      <t>新城鄉大漢村大安街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新城鄉原住民多功能活動中心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</si>
  <si>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(C0T841)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(C0Z180)</t>
    </r>
    <r>
      <rPr>
        <sz val="9"/>
        <rFont val="Verdana"/>
        <family val="2"/>
      </rPr>
      <t>站。</t>
    </r>
    <r>
      <rPr>
        <sz val="9"/>
        <rFont val="Calibri"/>
        <family val="2"/>
      </rPr>
      <t>(C0Z180)</t>
    </r>
    <r>
      <rPr>
        <sz val="9"/>
        <rFont val="Verdana"/>
        <family val="2"/>
      </rPr>
      <t>站於</t>
    </r>
    <r>
      <rPr>
        <sz val="9"/>
        <rFont val="Calibri"/>
        <family val="2"/>
      </rPr>
      <t>2025/02/07</t>
    </r>
    <r>
      <rPr>
        <sz val="9"/>
        <rFont val="Verdana"/>
        <family val="2"/>
      </rPr>
      <t>從新城鄉公所遷移至新城鄉原住民多功能活動中心</t>
    </r>
    <r>
      <rPr>
        <sz val="9"/>
        <rFont val="Calibri"/>
        <family val="2"/>
      </rPr>
      <t>(</t>
    </r>
    <r>
      <rPr>
        <sz val="9"/>
        <rFont val="Verdana"/>
        <family val="2"/>
      </rPr>
      <t>約</t>
    </r>
    <r>
      <rPr>
        <sz val="9"/>
        <rFont val="Calibri"/>
        <family val="2"/>
      </rPr>
      <t>120</t>
    </r>
    <r>
      <rPr>
        <sz val="9"/>
        <rFont val="Verdana"/>
        <family val="2"/>
      </rPr>
      <t>公尺</t>
    </r>
    <r>
      <rPr>
        <sz val="9"/>
        <rFont val="Calibri"/>
        <family val="2"/>
      </rPr>
      <t>)</t>
    </r>
    <r>
      <rPr>
        <sz val="9"/>
        <rFont val="Verdana"/>
        <family val="2"/>
      </rPr>
      <t>，並於</t>
    </r>
    <r>
      <rPr>
        <sz val="9"/>
        <rFont val="Calibri"/>
        <family val="2"/>
      </rPr>
      <t>2025/04/07</t>
    </r>
    <r>
      <rPr>
        <sz val="9"/>
        <rFont val="Verdana"/>
        <family val="2"/>
      </rPr>
      <t>啟用。</t>
    </r>
  </si>
  <si>
    <r>
      <rPr>
        <sz val="9"/>
        <rFont val="Verdana"/>
        <family val="2"/>
      </rPr>
      <t>富世</t>
    </r>
  </si>
  <si>
    <t>C0Z190</t>
  </si>
  <si>
    <r>
      <rPr>
        <sz val="9"/>
        <rFont val="Verdana"/>
        <family val="2"/>
      </rPr>
      <t>秀林鄉富世村</t>
    </r>
    <r>
      <rPr>
        <sz val="9"/>
        <rFont val="Calibri"/>
        <family val="2"/>
      </rPr>
      <t>127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富世國小校園內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</si>
  <si>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(C0T9C0)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(C0Z190)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</si>
  <si>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萬榮</t>
    </r>
  </si>
  <si>
    <t>C0Z200</t>
  </si>
  <si>
    <t>153m</t>
  </si>
  <si>
    <r>
      <rPr>
        <sz val="9"/>
        <rFont val="Verdana"/>
        <family val="2"/>
      </rPr>
      <t>鳳林鎮長橋里長橋路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長橋國小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</si>
  <si>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瑞穗</t>
    </r>
  </si>
  <si>
    <t>C0Z210</t>
  </si>
  <si>
    <t>126m</t>
  </si>
  <si>
    <r>
      <rPr>
        <sz val="9"/>
        <rFont val="Verdana"/>
        <family val="2"/>
      </rPr>
      <t>瑞穗鄉鶴岡村</t>
    </r>
    <r>
      <rPr>
        <sz val="9"/>
        <rFont val="Calibri"/>
        <family val="2"/>
      </rPr>
      <t>167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鶴岡國小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</si>
  <si>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和平林道</t>
    </r>
  </si>
  <si>
    <t>C0Z220</t>
  </si>
  <si>
    <t>589m</t>
  </si>
  <si>
    <r>
      <rPr>
        <sz val="9"/>
        <rFont val="Verdana"/>
        <family val="2"/>
      </rPr>
      <t>秀林鄉臺電公司東部發電廠碧海機組廠區內</t>
    </r>
    <r>
      <rPr>
        <sz val="9"/>
        <rFont val="Calibri"/>
        <family val="2"/>
      </rPr>
      <t>(</t>
    </r>
    <r>
      <rPr>
        <sz val="9"/>
        <rFont val="Verdana"/>
        <family val="2"/>
      </rPr>
      <t>進入管制哨約</t>
    </r>
    <r>
      <rPr>
        <sz val="9"/>
        <rFont val="Calibri"/>
        <family val="2"/>
      </rPr>
      <t>7</t>
    </r>
    <r>
      <rPr>
        <sz val="9"/>
        <rFont val="Verdana"/>
        <family val="2"/>
      </rPr>
      <t>公里處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</si>
  <si>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和平</t>
    </r>
  </si>
  <si>
    <t>C0Z230</t>
  </si>
  <si>
    <r>
      <rPr>
        <sz val="9"/>
        <rFont val="Verdana"/>
        <family val="2"/>
      </rPr>
      <t>秀林鄉克來寶段</t>
    </r>
    <r>
      <rPr>
        <sz val="9"/>
        <rFont val="Calibri"/>
        <family val="2"/>
      </rPr>
      <t>399</t>
    </r>
    <r>
      <rPr>
        <sz val="9"/>
        <rFont val="Verdana"/>
        <family val="2"/>
      </rPr>
      <t>地號</t>
    </r>
    <r>
      <rPr>
        <sz val="9"/>
        <rFont val="Calibri"/>
        <family val="2"/>
      </rPr>
      <t>(</t>
    </r>
    <r>
      <rPr>
        <sz val="9"/>
        <rFont val="Verdana"/>
        <family val="2"/>
      </rPr>
      <t>和平工業港安檢所綠洲分隊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</si>
  <si>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瑞穗林道</t>
    </r>
  </si>
  <si>
    <t>C0Z250</t>
  </si>
  <si>
    <t>1124m</t>
  </si>
  <si>
    <r>
      <rPr>
        <sz val="9"/>
        <rFont val="Verdana"/>
        <family val="2"/>
      </rPr>
      <t>卓溪鄉瑞穗林道約</t>
    </r>
    <r>
      <rPr>
        <sz val="9"/>
        <rFont val="Calibri"/>
        <family val="2"/>
      </rPr>
      <t>7.5K</t>
    </r>
    <r>
      <rPr>
        <sz val="9"/>
        <rFont val="Verdana"/>
        <family val="2"/>
      </rPr>
      <t>瑞欣礦區下方空地</t>
    </r>
  </si>
  <si>
    <r>
      <rPr>
        <sz val="9"/>
        <rFont val="Verdana"/>
        <family val="2"/>
      </rPr>
      <t>蕃薯寮</t>
    </r>
  </si>
  <si>
    <t>C0Z270</t>
  </si>
  <si>
    <t>343m</t>
  </si>
  <si>
    <r>
      <rPr>
        <sz val="9"/>
        <rFont val="Verdana"/>
        <family val="2"/>
      </rPr>
      <t>壽豐鄉水璉村蕃薯寮附近山區道路旁</t>
    </r>
    <r>
      <rPr>
        <sz val="9"/>
        <rFont val="Calibri"/>
        <family val="2"/>
      </rPr>
      <t>(</t>
    </r>
    <r>
      <rPr>
        <sz val="9"/>
        <rFont val="Verdana"/>
        <family val="2"/>
      </rPr>
      <t>牛山段</t>
    </r>
    <r>
      <rPr>
        <sz val="9"/>
        <rFont val="Calibri"/>
        <family val="2"/>
      </rPr>
      <t>607</t>
    </r>
    <r>
      <rPr>
        <sz val="9"/>
        <rFont val="Verdana"/>
        <family val="2"/>
      </rPr>
      <t>地號內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</si>
  <si>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德武</t>
    </r>
  </si>
  <si>
    <t>C0Z280</t>
  </si>
  <si>
    <t>224m</t>
  </si>
  <si>
    <r>
      <rPr>
        <sz val="9"/>
        <rFont val="Verdana"/>
        <family val="2"/>
      </rPr>
      <t>玉里鎮德武里附近山區道路旁</t>
    </r>
    <r>
      <rPr>
        <sz val="9"/>
        <rFont val="Calibri"/>
        <family val="2"/>
      </rPr>
      <t>(</t>
    </r>
    <r>
      <rPr>
        <sz val="9"/>
        <rFont val="Verdana"/>
        <family val="2"/>
      </rPr>
      <t>德武段</t>
    </r>
    <r>
      <rPr>
        <sz val="9"/>
        <rFont val="Calibri"/>
        <family val="2"/>
      </rPr>
      <t>680</t>
    </r>
    <r>
      <rPr>
        <sz val="9"/>
        <rFont val="Verdana"/>
        <family val="2"/>
      </rPr>
      <t>地號內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</si>
  <si>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赤柯山</t>
    </r>
  </si>
  <si>
    <t>C0Z290</t>
  </si>
  <si>
    <t>946m</t>
  </si>
  <si>
    <r>
      <rPr>
        <sz val="9"/>
        <rFont val="Verdana"/>
        <family val="2"/>
      </rPr>
      <t>玉里鎮赤柯山段</t>
    </r>
    <r>
      <rPr>
        <sz val="9"/>
        <rFont val="Calibri"/>
        <family val="2"/>
      </rPr>
      <t>338</t>
    </r>
    <r>
      <rPr>
        <sz val="9"/>
        <rFont val="Verdana"/>
        <family val="2"/>
      </rPr>
      <t>地號</t>
    </r>
  </si>
  <si>
    <r>
      <rPr>
        <sz val="9"/>
        <rFont val="Verdana"/>
        <family val="2"/>
      </rPr>
      <t>東里</t>
    </r>
  </si>
  <si>
    <t>C0Z300</t>
  </si>
  <si>
    <t>182m</t>
  </si>
  <si>
    <r>
      <rPr>
        <sz val="9"/>
        <rFont val="Verdana"/>
        <family val="2"/>
      </rPr>
      <t>富里鄉東里村大莊路</t>
    </r>
    <r>
      <rPr>
        <sz val="9"/>
        <rFont val="Calibri"/>
        <family val="2"/>
      </rPr>
      <t>52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東里消防分隊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</si>
  <si>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清水斷崖</t>
    </r>
  </si>
  <si>
    <t>C0Z310</t>
  </si>
  <si>
    <t>59m</t>
  </si>
  <si>
    <r>
      <rPr>
        <sz val="9"/>
        <rFont val="Verdana"/>
        <family val="2"/>
      </rPr>
      <t>秀林鄉臺</t>
    </r>
    <r>
      <rPr>
        <sz val="9"/>
        <rFont val="Calibri"/>
        <family val="2"/>
      </rPr>
      <t>9</t>
    </r>
    <r>
      <rPr>
        <sz val="9"/>
        <rFont val="Verdana"/>
        <family val="2"/>
      </rPr>
      <t>線大清水遊憩區下方空地</t>
    </r>
  </si>
  <si>
    <r>
      <rPr>
        <sz val="9"/>
        <rFont val="Verdana"/>
        <family val="2"/>
      </rPr>
      <t>清水林道</t>
    </r>
  </si>
  <si>
    <t>C0Z320</t>
  </si>
  <si>
    <t>646m</t>
  </si>
  <si>
    <r>
      <rPr>
        <sz val="9"/>
        <rFont val="Verdana"/>
        <family val="2"/>
      </rPr>
      <t>卓溪鄉清水林道北側山區</t>
    </r>
    <r>
      <rPr>
        <sz val="9"/>
        <rFont val="Calibri"/>
        <family val="2"/>
      </rPr>
      <t>(</t>
    </r>
    <r>
      <rPr>
        <sz val="9"/>
        <rFont val="Verdana"/>
        <family val="2"/>
      </rPr>
      <t>新生段</t>
    </r>
    <r>
      <rPr>
        <sz val="9"/>
        <rFont val="Calibri"/>
        <family val="2"/>
      </rPr>
      <t>1</t>
    </r>
    <r>
      <rPr>
        <sz val="9"/>
        <rFont val="Verdana"/>
        <family val="2"/>
      </rPr>
      <t>地號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</si>
  <si>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安通山</t>
    </r>
  </si>
  <si>
    <t>C0Z330</t>
  </si>
  <si>
    <t>488m</t>
  </si>
  <si>
    <r>
      <rPr>
        <sz val="9"/>
        <rFont val="Verdana"/>
        <family val="2"/>
      </rPr>
      <t>玉里鎮安通產業道路附近山區</t>
    </r>
  </si>
  <si>
    <r>
      <rPr>
        <sz val="9"/>
        <rFont val="Verdana"/>
        <family val="2"/>
      </rPr>
      <t>東引</t>
    </r>
  </si>
  <si>
    <t>CAW010</t>
  </si>
  <si>
    <r>
      <rPr>
        <sz val="9"/>
        <rFont val="Verdana"/>
        <family val="2"/>
      </rPr>
      <t>東引鄉</t>
    </r>
    <r>
      <rPr>
        <sz val="9"/>
        <rFont val="Calibri"/>
        <family val="2"/>
      </rPr>
      <t>(</t>
    </r>
    <r>
      <rPr>
        <sz val="9"/>
        <rFont val="Verdana"/>
        <family val="2"/>
      </rPr>
      <t>東引候機室旁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</si>
  <si>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南化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</si>
  <si>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C0O890</t>
  </si>
  <si>
    <t>167m</t>
  </si>
  <si>
    <r>
      <rPr>
        <sz val="9"/>
        <rFont val="Verdana"/>
        <family val="2"/>
      </rPr>
      <t>南化區</t>
    </r>
  </si>
  <si>
    <r>
      <rPr>
        <sz val="9"/>
        <rFont val="Verdana"/>
        <family val="2"/>
      </rPr>
      <t>中興新村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</si>
  <si>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C0H980</t>
  </si>
  <si>
    <r>
      <rPr>
        <sz val="9"/>
        <rFont val="Verdana"/>
        <family val="2"/>
      </rPr>
      <t>南投市中興新村</t>
    </r>
  </si>
  <si>
    <r>
      <rPr>
        <sz val="9"/>
        <rFont val="Verdana"/>
        <family val="2"/>
      </rPr>
      <t>牡丹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</si>
  <si>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C0R340</t>
  </si>
  <si>
    <t>285m</t>
  </si>
  <si>
    <r>
      <rPr>
        <sz val="9"/>
        <rFont val="Verdana"/>
        <family val="2"/>
      </rPr>
      <t>牡丹鄉牡丹國民小學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</si>
  <si>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(C0R340)</t>
    </r>
    <r>
      <rPr>
        <sz val="9"/>
        <rFont val="Verdana"/>
        <family val="2"/>
      </rPr>
      <t>站於</t>
    </r>
    <r>
      <rPr>
        <sz val="9"/>
        <rFont val="Calibri"/>
        <family val="2"/>
      </rPr>
      <t>1999/4/12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(C1R340)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</si>
  <si>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梨山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</si>
  <si>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C0F860</t>
  </si>
  <si>
    <t>1980m</t>
  </si>
  <si>
    <r>
      <rPr>
        <sz val="9"/>
        <rFont val="Verdana"/>
        <family val="2"/>
      </rPr>
      <t>和平區梨山里福壽路</t>
    </r>
    <r>
      <rPr>
        <sz val="9"/>
        <rFont val="Calibri"/>
        <family val="2"/>
      </rPr>
      <t>10</t>
    </r>
    <r>
      <rPr>
        <sz val="9"/>
        <rFont val="Verdana"/>
        <family val="2"/>
      </rPr>
      <t>號（梨山國小）</t>
    </r>
  </si>
  <si>
    <r>
      <rPr>
        <sz val="9"/>
        <rFont val="Verdana"/>
        <family val="2"/>
      </rPr>
      <t>竹東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</si>
  <si>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C0D470</t>
  </si>
  <si>
    <t>229m</t>
  </si>
  <si>
    <r>
      <rPr>
        <sz val="9"/>
        <rFont val="Verdana"/>
        <family val="2"/>
      </rPr>
      <t>橫山鄉新庄子</t>
    </r>
    <r>
      <rPr>
        <sz val="9"/>
        <rFont val="Calibri"/>
        <family val="2"/>
      </rPr>
      <t>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華山國民中學內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</si>
  <si>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觀霧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</si>
  <si>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C0E410</t>
  </si>
  <si>
    <t>2087m</t>
  </si>
  <si>
    <r>
      <rPr>
        <sz val="9"/>
        <rFont val="Verdana"/>
        <family val="2"/>
      </rPr>
      <t>五峰鄉及苗栗縣泰安鄉交界</t>
    </r>
    <r>
      <rPr>
        <sz val="9"/>
        <rFont val="Calibri"/>
        <family val="2"/>
      </rPr>
      <t>(</t>
    </r>
    <r>
      <rPr>
        <sz val="9"/>
        <rFont val="Verdana"/>
        <family val="2"/>
      </rPr>
      <t>林務局觀霧國家森林遊樂區遊客中心左前方往樂山基地之路旁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</si>
  <si>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玉里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</si>
  <si>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C0Z060</t>
  </si>
  <si>
    <t>130m</t>
  </si>
  <si>
    <r>
      <rPr>
        <sz val="9"/>
        <rFont val="Verdana"/>
        <family val="2"/>
      </rPr>
      <t>玉里鎮中華路</t>
    </r>
    <r>
      <rPr>
        <sz val="9"/>
        <rFont val="Calibri"/>
        <family val="2"/>
      </rPr>
      <t>414</t>
    </r>
    <r>
      <rPr>
        <sz val="9"/>
        <rFont val="Verdana"/>
        <family val="2"/>
      </rPr>
      <t>號內</t>
    </r>
    <r>
      <rPr>
        <sz val="9"/>
        <rFont val="Calibri"/>
        <family val="2"/>
      </rPr>
      <t>(</t>
    </r>
    <r>
      <rPr>
        <sz val="9"/>
        <rFont val="Verdana"/>
        <family val="2"/>
      </rPr>
      <t>林務局花蓮林管處玉里工作站宿舍旁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</si>
  <si>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因移位，於</t>
    </r>
    <r>
      <rPr>
        <sz val="9"/>
        <rFont val="Calibri"/>
        <family val="2"/>
      </rPr>
      <t>2008/2/20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(C0Z061)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</si>
  <si>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新豐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</si>
  <si>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C0C580</t>
  </si>
  <si>
    <r>
      <rPr>
        <sz val="9"/>
        <rFont val="Verdana"/>
        <family val="2"/>
      </rPr>
      <t>新豐鄉</t>
    </r>
  </si>
  <si>
    <r>
      <rPr>
        <sz val="9"/>
        <rFont val="Verdana"/>
        <family val="2"/>
      </rPr>
      <t>合歡山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</si>
  <si>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C0F950</t>
  </si>
  <si>
    <t>3430m</t>
  </si>
  <si>
    <r>
      <rPr>
        <sz val="9"/>
        <rFont val="Verdana"/>
        <family val="2"/>
      </rPr>
      <t>靜浦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</si>
  <si>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C0S720</t>
  </si>
  <si>
    <r>
      <rPr>
        <sz val="9"/>
        <rFont val="Verdana"/>
        <family val="2"/>
      </rPr>
      <t>原</t>
    </r>
    <r>
      <rPr>
        <sz val="9"/>
        <rFont val="Calibri"/>
        <family val="2"/>
      </rPr>
      <t>(C0S720)</t>
    </r>
    <r>
      <rPr>
        <sz val="9"/>
        <rFont val="Verdana"/>
        <family val="2"/>
      </rPr>
      <t>站因縣市代碼不符，於</t>
    </r>
    <r>
      <rPr>
        <sz val="9"/>
        <rFont val="Calibri"/>
        <family val="2"/>
      </rPr>
      <t>2008/2/25</t>
    </r>
    <r>
      <rPr>
        <sz val="9"/>
        <rFont val="Verdana"/>
        <family val="2"/>
      </rPr>
      <t>重新編碼為</t>
    </r>
    <r>
      <rPr>
        <sz val="9"/>
        <rFont val="Calibri"/>
        <family val="2"/>
      </rPr>
      <t>(C0T9M0)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</si>
  <si>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信義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</si>
  <si>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C0A9H0</t>
  </si>
  <si>
    <r>
      <rPr>
        <sz val="9"/>
        <rFont val="Verdana"/>
        <family val="2"/>
      </rPr>
      <t>信義區莊敬路</t>
    </r>
    <r>
      <rPr>
        <sz val="9"/>
        <rFont val="Calibri"/>
        <family val="2"/>
      </rPr>
      <t>423</t>
    </r>
    <r>
      <rPr>
        <sz val="9"/>
        <rFont val="Verdana"/>
        <family val="2"/>
      </rPr>
      <t>巷</t>
    </r>
    <r>
      <rPr>
        <sz val="9"/>
        <rFont val="Calibri"/>
        <family val="2"/>
      </rPr>
      <t>8</t>
    </r>
    <r>
      <rPr>
        <sz val="9"/>
        <rFont val="Verdana"/>
        <family val="2"/>
      </rPr>
      <t>弄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信義國中內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</si>
  <si>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大豹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</si>
  <si>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C0A510</t>
  </si>
  <si>
    <t>590m</t>
  </si>
  <si>
    <r>
      <rPr>
        <sz val="9"/>
        <rFont val="Verdana"/>
        <family val="2"/>
      </rPr>
      <t>三峽區</t>
    </r>
    <r>
      <rPr>
        <sz val="9"/>
        <rFont val="Calibri"/>
        <family val="2"/>
      </rPr>
      <t>(</t>
    </r>
    <r>
      <rPr>
        <sz val="9"/>
        <rFont val="Verdana"/>
        <family val="2"/>
      </rPr>
      <t>三峽李山神宮附近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</si>
  <si>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新城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</si>
  <si>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C0T840</t>
  </si>
  <si>
    <r>
      <rPr>
        <sz val="9"/>
        <rFont val="Verdana"/>
        <family val="2"/>
      </rPr>
      <t>新城鄉北埔村北埔路</t>
    </r>
    <r>
      <rPr>
        <sz val="9"/>
        <rFont val="Calibri"/>
        <family val="2"/>
      </rPr>
      <t>170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北埔國民小學內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</si>
  <si>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因移位，於</t>
    </r>
    <r>
      <rPr>
        <sz val="9"/>
        <rFont val="Calibri"/>
        <family val="2"/>
      </rPr>
      <t>2009/10/15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(C0T841)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</si>
  <si>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宜梧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</si>
  <si>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C0K290</t>
  </si>
  <si>
    <r>
      <rPr>
        <sz val="9"/>
        <rFont val="Verdana"/>
        <family val="2"/>
      </rPr>
      <t>口湖鄉口湖村</t>
    </r>
    <r>
      <rPr>
        <sz val="9"/>
        <rFont val="Calibri"/>
        <family val="2"/>
      </rPr>
      <t>191</t>
    </r>
    <r>
      <rPr>
        <sz val="9"/>
        <rFont val="Verdana"/>
        <family val="2"/>
      </rPr>
      <t>號木宜梧農場</t>
    </r>
    <r>
      <rPr>
        <sz val="9"/>
        <rFont val="Calibri"/>
        <family val="2"/>
      </rPr>
      <t>(</t>
    </r>
    <r>
      <rPr>
        <sz val="9"/>
        <rFont val="Verdana"/>
        <family val="2"/>
      </rPr>
      <t>口湖段下湖口</t>
    </r>
    <r>
      <rPr>
        <sz val="9"/>
        <rFont val="Calibri"/>
        <family val="2"/>
      </rPr>
      <t>425</t>
    </r>
    <r>
      <rPr>
        <sz val="9"/>
        <rFont val="Verdana"/>
        <family val="2"/>
      </rPr>
      <t>號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</si>
  <si>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因觀測位置不佳，於</t>
    </r>
    <r>
      <rPr>
        <sz val="9"/>
        <rFont val="Calibri"/>
        <family val="2"/>
      </rPr>
      <t>2010/9/27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(C0K291)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</si>
  <si>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三重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</si>
  <si>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C0A9I0</t>
  </si>
  <si>
    <r>
      <rPr>
        <sz val="9"/>
        <rFont val="Verdana"/>
        <family val="2"/>
      </rPr>
      <t>三重區中正北路</t>
    </r>
    <r>
      <rPr>
        <sz val="9"/>
        <rFont val="Calibri"/>
        <family val="2"/>
      </rPr>
      <t>107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明志國中校園內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</si>
  <si>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因移位，於</t>
    </r>
    <r>
      <rPr>
        <sz val="9"/>
        <rFont val="Calibri"/>
        <family val="2"/>
      </rPr>
      <t>2010/10/11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(C0A9I1)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</si>
  <si>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苑里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</si>
  <si>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C0E580</t>
  </si>
  <si>
    <r>
      <rPr>
        <sz val="9"/>
        <rFont val="Verdana"/>
        <family val="2"/>
      </rPr>
      <t>苑裡鎮</t>
    </r>
  </si>
  <si>
    <r>
      <rPr>
        <sz val="9"/>
        <rFont val="Verdana"/>
        <family val="2"/>
      </rPr>
      <t>中和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</si>
  <si>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C0AC90</t>
  </si>
  <si>
    <r>
      <rPr>
        <sz val="9"/>
        <rFont val="Verdana"/>
        <family val="2"/>
      </rPr>
      <t>中和區景新街</t>
    </r>
    <r>
      <rPr>
        <sz val="9"/>
        <rFont val="Calibri"/>
        <family val="2"/>
      </rPr>
      <t>467</t>
    </r>
    <r>
      <rPr>
        <sz val="9"/>
        <rFont val="Verdana"/>
        <family val="2"/>
      </rPr>
      <t>巷</t>
    </r>
    <r>
      <rPr>
        <sz val="9"/>
        <rFont val="Calibri"/>
        <family val="2"/>
      </rPr>
      <t>37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景新國小校園內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</si>
  <si>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(C1AC90)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(C0AC90)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</si>
  <si>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大尖山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</si>
  <si>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C0A590</t>
  </si>
  <si>
    <t>326m</t>
  </si>
  <si>
    <r>
      <rPr>
        <sz val="9"/>
        <rFont val="Verdana"/>
        <family val="2"/>
      </rPr>
      <t>汐止區勤進路</t>
    </r>
  </si>
  <si>
    <r>
      <rPr>
        <sz val="9"/>
        <rFont val="Verdana"/>
        <family val="2"/>
      </rPr>
      <t>新屋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</si>
  <si>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C0C450</t>
  </si>
  <si>
    <r>
      <rPr>
        <sz val="9"/>
        <rFont val="Verdana"/>
        <family val="2"/>
      </rPr>
      <t>新屋區新屋里</t>
    </r>
    <r>
      <rPr>
        <sz val="9"/>
        <rFont val="Calibri"/>
        <family val="2"/>
      </rPr>
      <t>(</t>
    </r>
    <r>
      <rPr>
        <sz val="9"/>
        <rFont val="Verdana"/>
        <family val="2"/>
      </rPr>
      <t>衛生署桃園醫院新屋分院北面停車場邊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</si>
  <si>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楊梅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</si>
  <si>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C0C500</t>
  </si>
  <si>
    <t>181m</t>
  </si>
  <si>
    <r>
      <rPr>
        <sz val="9"/>
        <rFont val="Verdana"/>
        <family val="2"/>
      </rPr>
      <t>楊梅區高山里</t>
    </r>
    <r>
      <rPr>
        <sz val="9"/>
        <rFont val="Calibri"/>
        <family val="2"/>
      </rPr>
      <t>11</t>
    </r>
    <r>
      <rPr>
        <sz val="9"/>
        <rFont val="Verdana"/>
        <family val="2"/>
      </rPr>
      <t>鄰梅高路</t>
    </r>
    <r>
      <rPr>
        <sz val="9"/>
        <rFont val="Calibri"/>
        <family val="2"/>
      </rPr>
      <t>838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楊梅高中校門口對面空地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</si>
  <si>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(C1C500)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(C0C500)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</si>
  <si>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苑裡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</si>
  <si>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C0E760</t>
  </si>
  <si>
    <r>
      <rPr>
        <sz val="9"/>
        <rFont val="Verdana"/>
        <family val="2"/>
      </rPr>
      <t>苑裡鎮育才街</t>
    </r>
    <r>
      <rPr>
        <sz val="9"/>
        <rFont val="Calibri"/>
        <family val="2"/>
      </rPr>
      <t>100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國立苑裡高中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</si>
  <si>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湖口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</si>
  <si>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C0D370</t>
  </si>
  <si>
    <t>79m</t>
  </si>
  <si>
    <r>
      <rPr>
        <sz val="9"/>
        <rFont val="Verdana"/>
        <family val="2"/>
      </rPr>
      <t>湖口鄉德盛村</t>
    </r>
    <r>
      <rPr>
        <sz val="9"/>
        <rFont val="Calibri"/>
        <family val="2"/>
      </rPr>
      <t>98-8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湖口農田水利會內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</si>
  <si>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(C1D370)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(C0D370)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</si>
  <si>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永和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</si>
  <si>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C0A9D0</t>
  </si>
  <si>
    <r>
      <rPr>
        <sz val="9"/>
        <rFont val="Verdana"/>
        <family val="2"/>
      </rPr>
      <t>永和區保生路</t>
    </r>
    <r>
      <rPr>
        <sz val="9"/>
        <rFont val="Calibri"/>
        <family val="2"/>
      </rPr>
      <t>25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永平國民小學校園內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</si>
  <si>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龍潭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</si>
  <si>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C0C610</t>
  </si>
  <si>
    <t>234m</t>
  </si>
  <si>
    <r>
      <rPr>
        <sz val="9"/>
        <rFont val="Verdana"/>
        <family val="2"/>
      </rPr>
      <t>龍潭區神龍路</t>
    </r>
    <r>
      <rPr>
        <sz val="9"/>
        <rFont val="Calibri"/>
        <family val="2"/>
      </rPr>
      <t>346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雙龍國民小學校園內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</si>
  <si>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三和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</si>
  <si>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C0A930</t>
  </si>
  <si>
    <r>
      <rPr>
        <sz val="9"/>
        <rFont val="Verdana"/>
        <family val="2"/>
      </rPr>
      <t>金山區兩湖里</t>
    </r>
    <r>
      <rPr>
        <sz val="9"/>
        <rFont val="Calibri"/>
        <family val="2"/>
      </rPr>
      <t>(</t>
    </r>
    <r>
      <rPr>
        <sz val="9"/>
        <rFont val="Verdana"/>
        <family val="2"/>
      </rPr>
      <t>距兩湖分校約</t>
    </r>
    <r>
      <rPr>
        <sz val="9"/>
        <rFont val="Calibri"/>
        <family val="2"/>
      </rPr>
      <t>300</t>
    </r>
    <r>
      <rPr>
        <sz val="9"/>
        <rFont val="Verdana"/>
        <family val="2"/>
      </rPr>
      <t>公尺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</si>
  <si>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因移位，於</t>
    </r>
    <r>
      <rPr>
        <sz val="9"/>
        <rFont val="Calibri"/>
        <family val="2"/>
      </rPr>
      <t>2014/4/1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(C0A931)</t>
    </r>
    <r>
      <rPr>
        <sz val="9"/>
        <rFont val="Verdana"/>
        <family val="2"/>
      </rPr>
      <t>站。</t>
    </r>
  </si>
  <si>
    <t>C0C570</t>
  </si>
  <si>
    <r>
      <rPr>
        <sz val="9"/>
        <rFont val="Verdana"/>
        <family val="2"/>
      </rPr>
      <t>新屋區東興路二段</t>
    </r>
    <r>
      <rPr>
        <sz val="9"/>
        <rFont val="Calibri"/>
        <family val="2"/>
      </rPr>
      <t>946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</si>
  <si>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(C1C570)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(C0C570)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</si>
  <si>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關子嶺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</si>
  <si>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C0X020</t>
  </si>
  <si>
    <t>403m</t>
  </si>
  <si>
    <r>
      <rPr>
        <sz val="9"/>
        <rFont val="Verdana"/>
        <family val="2"/>
      </rPr>
      <t>白河區關嶺里</t>
    </r>
  </si>
  <si>
    <r>
      <rPr>
        <sz val="9"/>
        <rFont val="Verdana"/>
        <family val="2"/>
      </rPr>
      <t>台西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</si>
  <si>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C0G710</t>
  </si>
  <si>
    <t>64m</t>
  </si>
  <si>
    <r>
      <rPr>
        <sz val="9"/>
        <rFont val="Verdana"/>
        <family val="2"/>
      </rPr>
      <t>大城鄉臺西村許厝巷</t>
    </r>
    <r>
      <rPr>
        <sz val="9"/>
        <rFont val="Calibri"/>
        <family val="2"/>
      </rPr>
      <t>2</t>
    </r>
    <r>
      <rPr>
        <sz val="9"/>
        <rFont val="Verdana"/>
        <family val="2"/>
      </rPr>
      <t>之</t>
    </r>
    <r>
      <rPr>
        <sz val="9"/>
        <rFont val="Calibri"/>
        <family val="2"/>
      </rPr>
      <t>10</t>
    </r>
    <r>
      <rPr>
        <sz val="9"/>
        <rFont val="Verdana"/>
        <family val="2"/>
      </rPr>
      <t>號旁</t>
    </r>
  </si>
  <si>
    <r>
      <rPr>
        <sz val="9"/>
        <rFont val="Verdana"/>
        <family val="2"/>
      </rPr>
      <t>新營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</si>
  <si>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C0O910</t>
  </si>
  <si>
    <r>
      <rPr>
        <sz val="9"/>
        <rFont val="Verdana"/>
        <family val="2"/>
      </rPr>
      <t>柳營區</t>
    </r>
    <r>
      <rPr>
        <sz val="9"/>
        <rFont val="Calibri"/>
        <family val="2"/>
      </rPr>
      <t>73603</t>
    </r>
    <r>
      <rPr>
        <sz val="9"/>
        <rFont val="Verdana"/>
        <family val="2"/>
      </rPr>
      <t>太康里一號</t>
    </r>
    <r>
      <rPr>
        <sz val="9"/>
        <rFont val="Calibri"/>
        <family val="2"/>
      </rPr>
      <t>(</t>
    </r>
    <r>
      <rPr>
        <sz val="9"/>
        <rFont val="Verdana"/>
        <family val="2"/>
      </rPr>
      <t>太康段</t>
    </r>
    <r>
      <rPr>
        <sz val="9"/>
        <rFont val="Calibri"/>
        <family val="2"/>
      </rPr>
      <t>523-12</t>
    </r>
    <r>
      <rPr>
        <sz val="9"/>
        <rFont val="Verdana"/>
        <family val="2"/>
      </rPr>
      <t>號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</si>
  <si>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大埔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</si>
  <si>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C0K300</t>
  </si>
  <si>
    <t>369m</t>
  </si>
  <si>
    <r>
      <rPr>
        <sz val="9"/>
        <rFont val="Verdana"/>
        <family val="2"/>
      </rPr>
      <t>古坑鄉朝陽村北極殿旁</t>
    </r>
  </si>
  <si>
    <r>
      <rPr>
        <sz val="9"/>
        <rFont val="Verdana"/>
        <family val="2"/>
      </rPr>
      <t>大河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</si>
  <si>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C0E440</t>
  </si>
  <si>
    <t>122m</t>
  </si>
  <si>
    <r>
      <rPr>
        <sz val="9"/>
        <rFont val="Verdana"/>
        <family val="2"/>
      </rPr>
      <t>三灣鄉大河村</t>
    </r>
    <r>
      <rPr>
        <sz val="9"/>
        <rFont val="Calibri"/>
        <family val="2"/>
      </rPr>
      <t>64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大河國小校園內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</si>
  <si>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(C1E440)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(C0E440)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</si>
  <si>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橫山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</si>
  <si>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C0F990</t>
  </si>
  <si>
    <r>
      <rPr>
        <sz val="9"/>
        <rFont val="Verdana"/>
        <family val="2"/>
      </rPr>
      <t>大雅區橫山通山路</t>
    </r>
    <r>
      <rPr>
        <sz val="9"/>
        <rFont val="Calibri"/>
        <family val="2"/>
      </rPr>
      <t>46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台中高爾球場辦公室後面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</si>
  <si>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(C1F990)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2008/4/1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(C0F990)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</si>
  <si>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左營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</si>
  <si>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C0V430</t>
  </si>
  <si>
    <r>
      <rPr>
        <sz val="9"/>
        <rFont val="Verdana"/>
        <family val="2"/>
      </rPr>
      <t>左營區曾子路</t>
    </r>
    <r>
      <rPr>
        <sz val="9"/>
        <rFont val="Calibri"/>
        <family val="2"/>
      </rPr>
      <t>281</t>
    </r>
    <r>
      <rPr>
        <sz val="9"/>
        <rFont val="Verdana"/>
        <family val="2"/>
      </rPr>
      <t>號（左營國中舊校區內）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</si>
  <si>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(C1V430)</t>
    </r>
    <r>
      <rPr>
        <sz val="9"/>
        <rFont val="Verdana"/>
        <family val="2"/>
      </rPr>
      <t>站因移位及擴充為氣象站，於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(C0V430)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</si>
  <si>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羅東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</si>
  <si>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C0U640</t>
  </si>
  <si>
    <r>
      <rPr>
        <sz val="9"/>
        <rFont val="Verdana"/>
        <family val="2"/>
      </rPr>
      <t>羅東鎮羅東公園</t>
    </r>
  </si>
  <si>
    <r>
      <rPr>
        <sz val="9"/>
        <rFont val="Verdana"/>
        <family val="2"/>
      </rPr>
      <t>大崙尾山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</si>
  <si>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C0A990</t>
  </si>
  <si>
    <t>463m</t>
  </si>
  <si>
    <r>
      <rPr>
        <sz val="9"/>
        <rFont val="Verdana"/>
        <family val="2"/>
      </rPr>
      <t>內湖區大崙尾山</t>
    </r>
    <r>
      <rPr>
        <sz val="9"/>
        <rFont val="Calibri"/>
        <family val="2"/>
      </rPr>
      <t>(</t>
    </r>
    <r>
      <rPr>
        <sz val="9"/>
        <rFont val="Verdana"/>
        <family val="2"/>
      </rPr>
      <t>內雙溪森林公園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</si>
  <si>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五股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</si>
  <si>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C0A680</t>
  </si>
  <si>
    <t>95m</t>
  </si>
  <si>
    <r>
      <rPr>
        <sz val="9"/>
        <rFont val="Verdana"/>
        <family val="2"/>
      </rPr>
      <t>五股區</t>
    </r>
    <r>
      <rPr>
        <sz val="9"/>
        <rFont val="Calibri"/>
        <family val="2"/>
      </rPr>
      <t>248</t>
    </r>
    <r>
      <rPr>
        <sz val="9"/>
        <rFont val="Verdana"/>
        <family val="2"/>
      </rPr>
      <t>成泰路二段</t>
    </r>
    <r>
      <rPr>
        <sz val="9"/>
        <rFont val="Calibri"/>
        <family val="2"/>
      </rPr>
      <t>49</t>
    </r>
    <r>
      <rPr>
        <sz val="9"/>
        <rFont val="Verdana"/>
        <family val="2"/>
      </rPr>
      <t>巷</t>
    </r>
    <r>
      <rPr>
        <sz val="9"/>
        <rFont val="Calibri"/>
        <family val="2"/>
      </rPr>
      <t>15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五股國中校園內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</si>
  <si>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(C1A680)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(C0A680)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</si>
  <si>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石岡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</si>
  <si>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C0F920</t>
  </si>
  <si>
    <t>290m</t>
  </si>
  <si>
    <r>
      <rPr>
        <sz val="9"/>
        <rFont val="Verdana"/>
        <family val="2"/>
      </rPr>
      <t>石岡區石岡里豐勢路</t>
    </r>
    <r>
      <rPr>
        <sz val="9"/>
        <rFont val="Calibri"/>
        <family val="2"/>
      </rPr>
      <t>1238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石岡壩管理中心內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</si>
  <si>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(C1F920)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(C0F920)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</si>
  <si>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林口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</si>
  <si>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C0A710</t>
  </si>
  <si>
    <r>
      <rPr>
        <sz val="9"/>
        <rFont val="Verdana"/>
        <family val="2"/>
      </rPr>
      <t>林口區民治路</t>
    </r>
    <r>
      <rPr>
        <sz val="9"/>
        <rFont val="Calibri"/>
        <family val="2"/>
      </rPr>
      <t>25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林口國中校園內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</si>
  <si>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(C1A710)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(C0A710)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</si>
  <si>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龜山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</si>
  <si>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C0C640</t>
  </si>
  <si>
    <t>177m</t>
  </si>
  <si>
    <r>
      <rPr>
        <sz val="9"/>
        <rFont val="Verdana"/>
        <family val="2"/>
      </rPr>
      <t>龜山區舊路里振興路</t>
    </r>
    <r>
      <rPr>
        <sz val="9"/>
        <rFont val="Calibri"/>
        <family val="2"/>
      </rPr>
      <t>1169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大埔國小校園內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</si>
  <si>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雙崎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</si>
  <si>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C0F900</t>
  </si>
  <si>
    <t>535m</t>
  </si>
  <si>
    <r>
      <rPr>
        <sz val="9"/>
        <rFont val="Verdana"/>
        <family val="2"/>
      </rPr>
      <t>和平區自由里東崎路</t>
    </r>
    <r>
      <rPr>
        <sz val="9"/>
        <rFont val="Calibri"/>
        <family val="2"/>
      </rPr>
      <t>2</t>
    </r>
    <r>
      <rPr>
        <sz val="9"/>
        <rFont val="Verdana"/>
        <family val="2"/>
      </rPr>
      <t>段</t>
    </r>
    <r>
      <rPr>
        <sz val="9"/>
        <rFont val="Calibri"/>
        <family val="2"/>
      </rPr>
      <t>116</t>
    </r>
    <r>
      <rPr>
        <sz val="9"/>
        <rFont val="Verdana"/>
        <family val="2"/>
      </rPr>
      <t>號內</t>
    </r>
  </si>
  <si>
    <r>
      <rPr>
        <sz val="9"/>
        <rFont val="Verdana"/>
        <family val="2"/>
      </rPr>
      <t>深坑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</si>
  <si>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C0AD20</t>
  </si>
  <si>
    <r>
      <rPr>
        <sz val="9"/>
        <rFont val="Verdana"/>
        <family val="2"/>
      </rPr>
      <t>深坑區文化街</t>
    </r>
    <r>
      <rPr>
        <sz val="9"/>
        <rFont val="Calibri"/>
        <family val="2"/>
      </rPr>
      <t>45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深坑國小內</t>
    </r>
    <r>
      <rPr>
        <sz val="9"/>
        <rFont val="Calibri"/>
        <family val="2"/>
      </rPr>
      <t>)</t>
    </r>
  </si>
  <si>
    <t>C0T841</t>
  </si>
  <si>
    <r>
      <rPr>
        <sz val="9"/>
        <rFont val="Verdana"/>
        <family val="2"/>
      </rPr>
      <t>新城鄉大漢村樹人街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大漢技術學院內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</si>
  <si>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(C0T840)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2009/10/15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(C0T841)</t>
    </r>
    <r>
      <rPr>
        <sz val="9"/>
        <rFont val="Verdana"/>
        <family val="2"/>
      </rPr>
      <t>，再因移位於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(C0Z180)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</si>
  <si>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富世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</si>
  <si>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C0T9C0</t>
  </si>
  <si>
    <t>109m</t>
  </si>
  <si>
    <r>
      <rPr>
        <sz val="9"/>
        <rFont val="Verdana"/>
        <family val="2"/>
      </rPr>
      <t>冬山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</si>
  <si>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C0U680</t>
  </si>
  <si>
    <r>
      <rPr>
        <sz val="9"/>
        <rFont val="Verdana"/>
        <family val="2"/>
      </rPr>
      <t>冬山鄉南興村照安路</t>
    </r>
    <r>
      <rPr>
        <sz val="9"/>
        <rFont val="Calibri"/>
        <family val="2"/>
      </rPr>
      <t>26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冬山國民中學內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</si>
  <si>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(C1U680)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2010/7/1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(C0U680)</t>
    </r>
    <r>
      <rPr>
        <sz val="9"/>
        <rFont val="Verdana"/>
        <family val="2"/>
      </rPr>
      <t>站，再因移位，於</t>
    </r>
    <r>
      <rPr>
        <sz val="9"/>
        <rFont val="Calibri"/>
        <family val="2"/>
      </rPr>
      <t>2017/12/1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(C0U910)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</si>
  <si>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思源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</si>
  <si>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C0U730</t>
  </si>
  <si>
    <t>1984m</t>
  </si>
  <si>
    <r>
      <rPr>
        <sz val="9"/>
        <rFont val="Verdana"/>
        <family val="2"/>
      </rPr>
      <t>大同鄉</t>
    </r>
    <r>
      <rPr>
        <sz val="9"/>
        <rFont val="Calibri"/>
        <family val="2"/>
      </rPr>
      <t>(</t>
    </r>
    <r>
      <rPr>
        <sz val="9"/>
        <rFont val="Verdana"/>
        <family val="2"/>
      </rPr>
      <t>思源啞口旁，大甲溪事業區第</t>
    </r>
    <r>
      <rPr>
        <sz val="9"/>
        <rFont val="Calibri"/>
        <family val="2"/>
      </rPr>
      <t>40</t>
    </r>
    <r>
      <rPr>
        <sz val="9"/>
        <rFont val="Verdana"/>
        <family val="2"/>
      </rPr>
      <t>林班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</si>
  <si>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豐裡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</si>
  <si>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C0Z260</t>
  </si>
  <si>
    <r>
      <rPr>
        <sz val="9"/>
        <rFont val="Verdana"/>
        <family val="2"/>
      </rPr>
      <t>壽豐鄉豐裡村中山路</t>
    </r>
    <r>
      <rPr>
        <sz val="9"/>
        <rFont val="Calibri"/>
        <family val="2"/>
      </rPr>
      <t>299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豐裡國小</t>
    </r>
    <r>
      <rPr>
        <sz val="9"/>
        <rFont val="Calibri"/>
        <family val="2"/>
      </rPr>
      <t>)</t>
    </r>
  </si>
  <si>
    <r>
      <t>2017/12/26</t>
    </r>
    <r>
      <rPr>
        <sz val="9"/>
        <rFont val="Verdana"/>
        <family val="2"/>
      </rPr>
      <t>起因施工暫時無法提供資料</t>
    </r>
  </si>
  <si>
    <r>
      <rPr>
        <sz val="9"/>
        <rFont val="Verdana"/>
        <family val="2"/>
      </rPr>
      <t>中壢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</si>
  <si>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C0C520</t>
  </si>
  <si>
    <r>
      <rPr>
        <sz val="9"/>
        <rFont val="Verdana"/>
        <family val="2"/>
      </rPr>
      <t>中壢區五權里</t>
    </r>
    <r>
      <rPr>
        <sz val="9"/>
        <rFont val="Calibri"/>
        <family val="2"/>
      </rPr>
      <t>(</t>
    </r>
    <r>
      <rPr>
        <sz val="9"/>
        <rFont val="Verdana"/>
        <family val="2"/>
      </rPr>
      <t>中央大學校園內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</si>
  <si>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(C1C520)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2007/10/1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(C0C520)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</si>
  <si>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壯圍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</si>
  <si>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C0U620</t>
  </si>
  <si>
    <r>
      <rPr>
        <sz val="9"/>
        <rFont val="Verdana"/>
        <family val="2"/>
      </rPr>
      <t>壯圍鄉壯五路</t>
    </r>
    <r>
      <rPr>
        <sz val="9"/>
        <rFont val="Calibri"/>
        <family val="2"/>
      </rPr>
      <t>40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壯圍國民小學操場旁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</si>
  <si>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(C1U620)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2010/7/1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(C0U620)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</si>
  <si>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表湖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</si>
  <si>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C0V150</t>
  </si>
  <si>
    <r>
      <rPr>
        <sz val="9"/>
        <rFont val="Verdana"/>
        <family val="2"/>
      </rPr>
      <t>那瑪夏區曾文水庫表湖雨量測報站旁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</si>
  <si>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 xml:space="preserve"> 2013/3/19 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</si>
  <si>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南港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</si>
  <si>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C0A9G0</t>
  </si>
  <si>
    <r>
      <rPr>
        <sz val="9"/>
        <rFont val="Verdana"/>
        <family val="2"/>
      </rPr>
      <t>南港區興南路</t>
    </r>
    <r>
      <rPr>
        <sz val="9"/>
        <rFont val="Calibri"/>
        <family val="2"/>
      </rPr>
      <t>62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東新國小內</t>
    </r>
    <r>
      <rPr>
        <sz val="9"/>
        <rFont val="Calibri"/>
        <family val="2"/>
      </rPr>
      <t>)</t>
    </r>
  </si>
  <si>
    <t>C0A9I1</t>
  </si>
  <si>
    <r>
      <rPr>
        <sz val="9"/>
        <rFont val="Verdana"/>
        <family val="2"/>
      </rPr>
      <t>三重區集美街</t>
    </r>
    <r>
      <rPr>
        <sz val="9"/>
        <rFont val="Calibri"/>
        <family val="2"/>
      </rPr>
      <t>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集美國小校園內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</si>
  <si>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(C0A9I0)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2010/10/11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(C0A9I1)</t>
    </r>
    <r>
      <rPr>
        <sz val="9"/>
        <rFont val="Verdana"/>
        <family val="2"/>
      </rPr>
      <t>站。原</t>
    </r>
    <r>
      <rPr>
        <sz val="9"/>
        <rFont val="Calibri"/>
        <family val="2"/>
      </rPr>
      <t>(C0A9I1)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2019/8/2</t>
    </r>
    <r>
      <rPr>
        <sz val="9"/>
        <rFont val="Verdana"/>
        <family val="2"/>
      </rPr>
      <t>更變為</t>
    </r>
    <r>
      <rPr>
        <sz val="9"/>
        <rFont val="Calibri"/>
        <family val="2"/>
      </rPr>
      <t>(C0AI30)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</si>
  <si>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東港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</si>
  <si>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C0R430</t>
  </si>
  <si>
    <r>
      <rPr>
        <sz val="9"/>
        <rFont val="Verdana"/>
        <family val="2"/>
      </rPr>
      <t>東港鎮豐漁街</t>
    </r>
    <r>
      <rPr>
        <sz val="9"/>
        <rFont val="Calibri"/>
        <family val="2"/>
      </rPr>
      <t>66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國立東港高級海事水產職業學校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</si>
  <si>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 xml:space="preserve">2013/6/18 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</si>
  <si>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竹田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</si>
  <si>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C0R500</t>
  </si>
  <si>
    <r>
      <rPr>
        <sz val="9"/>
        <rFont val="Verdana"/>
        <family val="2"/>
      </rPr>
      <t>竹田鄉中正路</t>
    </r>
    <r>
      <rPr>
        <sz val="9"/>
        <rFont val="Calibri"/>
        <family val="2"/>
      </rPr>
      <t>123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竹田鄉公所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</si>
  <si>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屈尺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</si>
  <si>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C0A580</t>
  </si>
  <si>
    <r>
      <rPr>
        <sz val="9"/>
        <rFont val="Verdana"/>
        <family val="2"/>
      </rPr>
      <t>新店區屈尺里</t>
    </r>
    <r>
      <rPr>
        <sz val="9"/>
        <rFont val="Calibri"/>
        <family val="2"/>
      </rPr>
      <t>10</t>
    </r>
    <r>
      <rPr>
        <sz val="9"/>
        <rFont val="Verdana"/>
        <family val="2"/>
      </rPr>
      <t>鄰屈尺路</t>
    </r>
    <r>
      <rPr>
        <sz val="9"/>
        <rFont val="Calibri"/>
        <family val="2"/>
      </rPr>
      <t>55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屈尺國民小學國小校園內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</si>
  <si>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枋寮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</si>
  <si>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C0R380</t>
  </si>
  <si>
    <r>
      <rPr>
        <sz val="9"/>
        <rFont val="Verdana"/>
        <family val="2"/>
      </rPr>
      <t>枋寮鄉枋寮村德興路</t>
    </r>
    <r>
      <rPr>
        <sz val="9"/>
        <rFont val="Calibri"/>
        <family val="2"/>
      </rPr>
      <t>197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枋寮國民小學操場旁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</si>
  <si>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楓港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</si>
  <si>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C0R400</t>
  </si>
  <si>
    <r>
      <rPr>
        <sz val="9"/>
        <rFont val="Verdana"/>
        <family val="2"/>
      </rPr>
      <t>枋山鄉善餘村光復路</t>
    </r>
    <r>
      <rPr>
        <sz val="9"/>
        <rFont val="Calibri"/>
        <family val="2"/>
      </rPr>
      <t>24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楓港國民小學操場旁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</si>
  <si>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墾丁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</si>
  <si>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C0R360</t>
  </si>
  <si>
    <r>
      <rPr>
        <sz val="9"/>
        <rFont val="Verdana"/>
        <family val="2"/>
      </rPr>
      <t>恆春鎮墾丁里牧場路</t>
    </r>
    <r>
      <rPr>
        <sz val="9"/>
        <rFont val="Calibri"/>
        <family val="2"/>
      </rPr>
      <t>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畜產試驗所恆春分所內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</si>
  <si>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佳樂水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</si>
  <si>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C0R370</t>
  </si>
  <si>
    <r>
      <rPr>
        <sz val="9"/>
        <rFont val="Verdana"/>
        <family val="2"/>
      </rPr>
      <t>滿州鄉港口村茶山路</t>
    </r>
    <r>
      <rPr>
        <sz val="9"/>
        <rFont val="Calibri"/>
        <family val="2"/>
      </rPr>
      <t>14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佳樂山林務局工作站內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</si>
  <si>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石牌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</si>
  <si>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C0A9B0</t>
  </si>
  <si>
    <r>
      <rPr>
        <sz val="9"/>
        <rFont val="Verdana"/>
        <family val="2"/>
      </rPr>
      <t>北投區石牌路</t>
    </r>
    <r>
      <rPr>
        <sz val="9"/>
        <rFont val="Calibri"/>
        <family val="2"/>
      </rPr>
      <t>1</t>
    </r>
    <r>
      <rPr>
        <sz val="9"/>
        <rFont val="Verdana"/>
        <family val="2"/>
      </rPr>
      <t>段</t>
    </r>
    <r>
      <rPr>
        <sz val="9"/>
        <rFont val="Calibri"/>
        <family val="2"/>
      </rPr>
      <t>139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石牌國中內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</si>
  <si>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田中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</si>
  <si>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C0G850</t>
  </si>
  <si>
    <r>
      <rPr>
        <sz val="9"/>
        <rFont val="Verdana"/>
        <family val="2"/>
      </rPr>
      <t>田中鎮中州路一段</t>
    </r>
    <r>
      <rPr>
        <sz val="9"/>
        <rFont val="Calibri"/>
        <family val="2"/>
      </rPr>
      <t>177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田中國小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</si>
  <si>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花壇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</si>
  <si>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C0G790</t>
  </si>
  <si>
    <r>
      <rPr>
        <sz val="9"/>
        <rFont val="Verdana"/>
        <family val="2"/>
      </rPr>
      <t>花壇鄉中庄村中橋街</t>
    </r>
    <r>
      <rPr>
        <sz val="9"/>
        <rFont val="Calibri"/>
        <family val="2"/>
      </rPr>
      <t>226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華南國小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</si>
  <si>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三義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</si>
  <si>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C0E530</t>
  </si>
  <si>
    <t>341m</t>
  </si>
  <si>
    <r>
      <rPr>
        <sz val="9"/>
        <rFont val="Verdana"/>
        <family val="2"/>
      </rPr>
      <t>三義鄉廣盛村</t>
    </r>
    <r>
      <rPr>
        <sz val="9"/>
        <rFont val="Calibri"/>
        <family val="2"/>
      </rPr>
      <t>10</t>
    </r>
    <r>
      <rPr>
        <sz val="9"/>
        <rFont val="Verdana"/>
        <family val="2"/>
      </rPr>
      <t>鄰</t>
    </r>
    <r>
      <rPr>
        <sz val="9"/>
        <rFont val="Calibri"/>
        <family val="2"/>
      </rPr>
      <t>122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三義高中內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</si>
  <si>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牡丹池山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</si>
  <si>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C0R420</t>
  </si>
  <si>
    <t>504m</t>
  </si>
  <si>
    <r>
      <rPr>
        <sz val="9"/>
        <rFont val="Verdana"/>
        <family val="2"/>
      </rPr>
      <t>牡丹鄉電信轉播臺旁步行約</t>
    </r>
    <r>
      <rPr>
        <sz val="9"/>
        <rFont val="Calibri"/>
        <family val="2"/>
      </rPr>
      <t>3</t>
    </r>
    <r>
      <rPr>
        <sz val="9"/>
        <rFont val="Verdana"/>
        <family val="2"/>
      </rPr>
      <t>分鐘</t>
    </r>
    <r>
      <rPr>
        <sz val="9"/>
        <rFont val="Calibri"/>
        <family val="2"/>
      </rPr>
      <t>(</t>
    </r>
    <r>
      <rPr>
        <sz val="9"/>
        <rFont val="Verdana"/>
        <family val="2"/>
      </rPr>
      <t>恆春事業區</t>
    </r>
    <r>
      <rPr>
        <sz val="9"/>
        <rFont val="Calibri"/>
        <family val="2"/>
      </rPr>
      <t>21</t>
    </r>
    <r>
      <rPr>
        <sz val="9"/>
        <rFont val="Verdana"/>
        <family val="2"/>
      </rPr>
      <t>林班地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</si>
  <si>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柳營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</si>
  <si>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C0X270</t>
  </si>
  <si>
    <r>
      <rPr>
        <sz val="9"/>
        <rFont val="Verdana"/>
        <family val="2"/>
      </rPr>
      <t>柳營區果毅里</t>
    </r>
    <r>
      <rPr>
        <sz val="9"/>
        <rFont val="Calibri"/>
        <family val="2"/>
      </rPr>
      <t>61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果毅國小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</si>
  <si>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山美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</si>
  <si>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C0M830</t>
  </si>
  <si>
    <t>540m</t>
  </si>
  <si>
    <r>
      <rPr>
        <sz val="9"/>
        <rFont val="Verdana"/>
        <family val="2"/>
      </rPr>
      <t>阿里山鄉山美村</t>
    </r>
    <r>
      <rPr>
        <sz val="9"/>
        <rFont val="Calibri"/>
        <family val="2"/>
      </rPr>
      <t>(</t>
    </r>
    <r>
      <rPr>
        <sz val="9"/>
        <rFont val="Verdana"/>
        <family val="2"/>
      </rPr>
      <t>原阿里山鄉農會山美辦事處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</si>
  <si>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紅葉山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</si>
  <si>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C0S680</t>
  </si>
  <si>
    <t>1659m</t>
  </si>
  <si>
    <r>
      <rPr>
        <sz val="9"/>
        <rFont val="Verdana"/>
        <family val="2"/>
      </rPr>
      <t>延平鄉紅葉山瞭望臺旁</t>
    </r>
    <r>
      <rPr>
        <sz val="9"/>
        <rFont val="Calibri"/>
        <family val="2"/>
      </rPr>
      <t>(</t>
    </r>
    <r>
      <rPr>
        <sz val="9"/>
        <rFont val="Verdana"/>
        <family val="2"/>
      </rPr>
      <t>延平林道</t>
    </r>
    <r>
      <rPr>
        <sz val="9"/>
        <rFont val="Calibri"/>
        <family val="2"/>
      </rPr>
      <t>23k</t>
    </r>
    <r>
      <rPr>
        <sz val="9"/>
        <rFont val="Verdana"/>
        <family val="2"/>
      </rPr>
      <t>處步行約</t>
    </r>
    <r>
      <rPr>
        <sz val="9"/>
        <rFont val="Calibri"/>
        <family val="2"/>
      </rPr>
      <t>50</t>
    </r>
    <r>
      <rPr>
        <sz val="9"/>
        <rFont val="Verdana"/>
        <family val="2"/>
      </rPr>
      <t>分鐘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</si>
  <si>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大直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</si>
  <si>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C0A9A0</t>
  </si>
  <si>
    <r>
      <rPr>
        <sz val="9"/>
        <rFont val="Verdana"/>
        <family val="2"/>
      </rPr>
      <t>中山區北安路</t>
    </r>
    <r>
      <rPr>
        <sz val="9"/>
        <rFont val="Calibri"/>
        <family val="2"/>
      </rPr>
      <t>420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大直高中內</t>
    </r>
    <r>
      <rPr>
        <sz val="9"/>
        <rFont val="Calibri"/>
        <family val="2"/>
      </rPr>
      <t>)</t>
    </r>
  </si>
  <si>
    <t>C0AG90</t>
  </si>
  <si>
    <r>
      <rPr>
        <sz val="9"/>
        <rFont val="Verdana"/>
        <family val="2"/>
      </rPr>
      <t>中和區錦和路</t>
    </r>
    <r>
      <rPr>
        <sz val="9"/>
        <rFont val="Calibri"/>
        <family val="2"/>
      </rPr>
      <t>350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錦和運動公園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</si>
  <si>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古坑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</si>
  <si>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C0K490</t>
  </si>
  <si>
    <t>91m</t>
  </si>
  <si>
    <r>
      <rPr>
        <sz val="9"/>
        <rFont val="Verdana"/>
        <family val="2"/>
      </rPr>
      <t>古坑鄉中山路</t>
    </r>
    <r>
      <rPr>
        <sz val="9"/>
        <rFont val="Calibri"/>
        <family val="2"/>
      </rPr>
      <t>393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古坑消防分隊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</si>
  <si>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士林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</si>
  <si>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C0A9E0</t>
  </si>
  <si>
    <r>
      <rPr>
        <sz val="9"/>
        <rFont val="Verdana"/>
        <family val="2"/>
      </rPr>
      <t>士林區延平北路</t>
    </r>
    <r>
      <rPr>
        <sz val="9"/>
        <rFont val="Calibri"/>
        <family val="2"/>
      </rPr>
      <t>6</t>
    </r>
    <r>
      <rPr>
        <sz val="9"/>
        <rFont val="Verdana"/>
        <family val="2"/>
      </rPr>
      <t>段</t>
    </r>
    <r>
      <rPr>
        <sz val="9"/>
        <rFont val="Calibri"/>
        <family val="2"/>
      </rPr>
      <t>308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社子國小內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</si>
  <si>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高鐵彰化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</si>
  <si>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C0G760</t>
  </si>
  <si>
    <r>
      <rPr>
        <sz val="9"/>
        <rFont val="Verdana"/>
        <family val="2"/>
      </rPr>
      <t>田中鎮站區路二段</t>
    </r>
    <r>
      <rPr>
        <sz val="9"/>
        <rFont val="Calibri"/>
        <family val="2"/>
      </rPr>
      <t>99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高鐵彰化站外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</si>
  <si>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香山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</si>
  <si>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C0D570</t>
  </si>
  <si>
    <r>
      <rPr>
        <sz val="9"/>
        <rFont val="Verdana"/>
        <family val="2"/>
      </rPr>
      <t>香山區長興街路旁</t>
    </r>
  </si>
  <si>
    <r>
      <rPr>
        <sz val="9"/>
        <rFont val="Verdana"/>
        <family val="2"/>
      </rPr>
      <t>竹塘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</si>
  <si>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C0G750</t>
  </si>
  <si>
    <r>
      <rPr>
        <sz val="9"/>
        <rFont val="Verdana"/>
        <family val="2"/>
      </rPr>
      <t>竹塘鄉永安村東陽路二段</t>
    </r>
    <r>
      <rPr>
        <sz val="9"/>
        <rFont val="Calibri"/>
        <family val="2"/>
      </rPr>
      <t>221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永安派出所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</si>
  <si>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東引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</si>
  <si>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C0W170</t>
  </si>
  <si>
    <r>
      <rPr>
        <sz val="9"/>
        <rFont val="Verdana"/>
        <family val="2"/>
      </rPr>
      <t>東引鄉（東引機場候機室旁）</t>
    </r>
  </si>
  <si>
    <r>
      <rPr>
        <sz val="9"/>
        <rFont val="Verdana"/>
        <family val="2"/>
      </rPr>
      <t>雲林東勢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</si>
  <si>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C0K520</t>
  </si>
  <si>
    <r>
      <rPr>
        <sz val="9"/>
        <rFont val="Verdana"/>
        <family val="2"/>
      </rPr>
      <t>東勢鄉東南村所前街</t>
    </r>
    <r>
      <rPr>
        <sz val="9"/>
        <rFont val="Calibri"/>
        <family val="2"/>
      </rPr>
      <t>3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東勢鄉公所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</si>
  <si>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2025-09-01</t>
    </r>
    <r>
      <rPr>
        <sz val="9"/>
        <rFont val="Verdana"/>
        <family val="2"/>
      </rPr>
      <t>更正經緯度資料。</t>
    </r>
  </si>
  <si>
    <r>
      <rPr>
        <sz val="9"/>
        <rFont val="Verdana"/>
        <family val="2"/>
      </rPr>
      <t>大園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</si>
  <si>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C0C540</t>
  </si>
  <si>
    <t>46m</t>
  </si>
  <si>
    <r>
      <rPr>
        <sz val="9"/>
        <rFont val="Verdana"/>
        <family val="2"/>
      </rPr>
      <t>大園區埔心里</t>
    </r>
    <r>
      <rPr>
        <sz val="9"/>
        <rFont val="Calibri"/>
        <family val="2"/>
      </rPr>
      <t>25</t>
    </r>
    <r>
      <rPr>
        <sz val="9"/>
        <rFont val="Verdana"/>
        <family val="2"/>
      </rPr>
      <t>鄰中正東路</t>
    </r>
    <r>
      <rPr>
        <sz val="9"/>
        <rFont val="Calibri"/>
        <family val="2"/>
      </rPr>
      <t>1</t>
    </r>
    <r>
      <rPr>
        <sz val="9"/>
        <rFont val="Verdana"/>
        <family val="2"/>
      </rPr>
      <t>段</t>
    </r>
    <r>
      <rPr>
        <sz val="9"/>
        <rFont val="Calibri"/>
        <family val="2"/>
      </rPr>
      <t>189</t>
    </r>
    <r>
      <rPr>
        <sz val="9"/>
        <rFont val="Verdana"/>
        <family val="2"/>
      </rPr>
      <t>巷</t>
    </r>
    <r>
      <rPr>
        <sz val="9"/>
        <rFont val="Calibri"/>
        <family val="2"/>
      </rPr>
      <t>35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埔心國民小學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</si>
  <si>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(C1C540)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(C0C540)</t>
    </r>
    <r>
      <rPr>
        <sz val="9"/>
        <rFont val="Verdana"/>
        <family val="2"/>
      </rPr>
      <t>站，</t>
    </r>
    <r>
      <rPr>
        <sz val="9"/>
        <rFont val="Calibri"/>
        <family val="2"/>
      </rPr>
      <t>2017/10/27</t>
    </r>
    <r>
      <rPr>
        <sz val="9"/>
        <rFont val="Verdana"/>
        <family val="2"/>
      </rPr>
      <t>站名由埔心變更為大園。</t>
    </r>
  </si>
  <si>
    <r>
      <rPr>
        <sz val="9"/>
        <rFont val="Verdana"/>
        <family val="2"/>
      </rPr>
      <t>旗津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</si>
  <si>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C0V500</t>
  </si>
  <si>
    <r>
      <rPr>
        <sz val="9"/>
        <rFont val="Verdana"/>
        <family val="2"/>
      </rPr>
      <t>旗津區中洲二路</t>
    </r>
    <r>
      <rPr>
        <sz val="9"/>
        <rFont val="Calibri"/>
        <family val="2"/>
      </rPr>
      <t>207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旗津國中校園內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</si>
  <si>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本站因儀器汰換，自</t>
    </r>
    <r>
      <rPr>
        <sz val="9"/>
        <rFont val="Calibri"/>
        <family val="2"/>
      </rPr>
      <t>2013/8/12</t>
    </r>
    <r>
      <rPr>
        <sz val="9"/>
        <rFont val="Verdana"/>
        <family val="2"/>
      </rPr>
      <t>起暫停資料提供，並於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完成驗收。</t>
    </r>
  </si>
  <si>
    <r>
      <rPr>
        <sz val="9"/>
        <rFont val="Verdana"/>
        <family val="2"/>
      </rPr>
      <t>林邊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</si>
  <si>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C0R530</t>
  </si>
  <si>
    <r>
      <rPr>
        <sz val="9"/>
        <rFont val="Verdana"/>
        <family val="2"/>
      </rPr>
      <t>林邊鄉光林村和平路</t>
    </r>
    <r>
      <rPr>
        <sz val="9"/>
        <rFont val="Calibri"/>
        <family val="2"/>
      </rPr>
      <t>45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林邊鄉衛生所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</si>
  <si>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卓蘭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</si>
  <si>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C0E790</t>
  </si>
  <si>
    <t>344m</t>
  </si>
  <si>
    <r>
      <rPr>
        <sz val="9"/>
        <rFont val="Verdana"/>
        <family val="2"/>
      </rPr>
      <t>卓蘭鎮中山路</t>
    </r>
    <r>
      <rPr>
        <sz val="9"/>
        <rFont val="Calibri"/>
        <family val="2"/>
      </rPr>
      <t>127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卓蘭鎮公所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</si>
  <si>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楠梓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</si>
  <si>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C0V670</t>
  </si>
  <si>
    <r>
      <rPr>
        <sz val="9"/>
        <rFont val="Verdana"/>
        <family val="2"/>
      </rPr>
      <t>楠梓區德民路</t>
    </r>
    <r>
      <rPr>
        <sz val="9"/>
        <rFont val="Calibri"/>
        <family val="2"/>
      </rPr>
      <t>1010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國昌國民中學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</si>
  <si>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萬丹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</si>
  <si>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C0R510</t>
  </si>
  <si>
    <r>
      <rPr>
        <sz val="9"/>
        <rFont val="Verdana"/>
        <family val="2"/>
      </rPr>
      <t>萬丹鄉萬安村和平東路</t>
    </r>
    <r>
      <rPr>
        <sz val="9"/>
        <rFont val="Calibri"/>
        <family val="2"/>
      </rPr>
      <t>69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萬丹消防分隊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</si>
  <si>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關西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</si>
  <si>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C0D390</t>
  </si>
  <si>
    <t>146m</t>
  </si>
  <si>
    <r>
      <rPr>
        <sz val="9"/>
        <rFont val="Verdana"/>
        <family val="2"/>
      </rPr>
      <t>原</t>
    </r>
    <r>
      <rPr>
        <sz val="9"/>
        <rFont val="Calibri"/>
        <family val="2"/>
      </rPr>
      <t>(C1D390)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2008/1/1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(C0D390)</t>
    </r>
    <r>
      <rPr>
        <sz val="9"/>
        <rFont val="Verdana"/>
        <family val="2"/>
      </rPr>
      <t>站。原</t>
    </r>
    <r>
      <rPr>
        <sz val="9"/>
        <rFont val="Calibri"/>
        <family val="2"/>
      </rPr>
      <t>(C0D390)</t>
    </r>
    <r>
      <rPr>
        <sz val="9"/>
        <rFont val="Verdana"/>
        <family val="2"/>
      </rPr>
      <t>站因移位，於</t>
    </r>
    <r>
      <rPr>
        <sz val="9"/>
        <rFont val="Calibri"/>
        <family val="2"/>
      </rPr>
      <t>2023/02/19</t>
    </r>
    <r>
      <rPr>
        <sz val="9"/>
        <rFont val="Verdana"/>
        <family val="2"/>
      </rPr>
      <t>變更為</t>
    </r>
    <r>
      <rPr>
        <sz val="9"/>
        <rFont val="Calibri"/>
        <family val="2"/>
      </rPr>
      <t>(C0D700)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</si>
  <si>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澳底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</si>
  <si>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C0AJ10</t>
  </si>
  <si>
    <r>
      <rPr>
        <sz val="9"/>
        <rFont val="Verdana"/>
        <family val="2"/>
      </rPr>
      <t>貢寮區新港街</t>
    </r>
    <r>
      <rPr>
        <sz val="9"/>
        <rFont val="Calibri"/>
        <family val="2"/>
      </rPr>
      <t>128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澳底第</t>
    </r>
    <r>
      <rPr>
        <sz val="9"/>
        <rFont val="Calibri"/>
        <family val="2"/>
      </rPr>
      <t>16</t>
    </r>
    <r>
      <rPr>
        <sz val="9"/>
        <rFont val="Verdana"/>
        <family val="2"/>
      </rPr>
      <t>海巡隊樓頂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</si>
  <si>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大肚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</si>
  <si>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C0F000</t>
  </si>
  <si>
    <t>273m</t>
  </si>
  <si>
    <r>
      <rPr>
        <sz val="9"/>
        <rFont val="Verdana"/>
        <family val="2"/>
      </rPr>
      <t>大肚區瑞井里遊園路一段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臺中區監理所內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</si>
  <si>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(C1F000)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(C0F000)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C0F000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C2F000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</si>
  <si>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大湖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</si>
  <si>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C0E520</t>
  </si>
  <si>
    <t>320m</t>
  </si>
  <si>
    <r>
      <rPr>
        <sz val="9"/>
        <rFont val="Verdana"/>
        <family val="2"/>
      </rPr>
      <t>大湖鄉大寮村</t>
    </r>
    <r>
      <rPr>
        <sz val="9"/>
        <rFont val="Calibri"/>
        <family val="2"/>
      </rPr>
      <t>5</t>
    </r>
    <r>
      <rPr>
        <sz val="9"/>
        <rFont val="Verdana"/>
        <family val="2"/>
      </rPr>
      <t>鄰竹高屋</t>
    </r>
    <r>
      <rPr>
        <sz val="9"/>
        <rFont val="Calibri"/>
        <family val="2"/>
      </rPr>
      <t>34-1</t>
    </r>
    <r>
      <rPr>
        <sz val="9"/>
        <rFont val="Verdana"/>
        <family val="2"/>
      </rPr>
      <t>號附近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</si>
  <si>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(C1E520)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(C0E520)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C0E520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C2E520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</si>
  <si>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後龍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</si>
  <si>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C0E540</t>
  </si>
  <si>
    <r>
      <rPr>
        <sz val="9"/>
        <rFont val="Verdana"/>
        <family val="2"/>
      </rPr>
      <t>後龍鎮後龍溪橋旁高地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</si>
  <si>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(C1E540)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(C0E540)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C0E540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C2E540</t>
    </r>
    <r>
      <rPr>
        <sz val="9"/>
        <rFont val="Verdana"/>
        <family val="2"/>
      </rPr>
      <t>）。</t>
    </r>
  </si>
  <si>
    <t>C0E880</t>
  </si>
  <si>
    <r>
      <rPr>
        <sz val="9"/>
        <rFont val="Verdana"/>
        <family val="2"/>
      </rPr>
      <t>三義鄉</t>
    </r>
    <r>
      <rPr>
        <sz val="9"/>
        <rFont val="Calibri"/>
        <family val="2"/>
      </rPr>
      <t>130</t>
    </r>
    <r>
      <rPr>
        <sz val="9"/>
        <rFont val="Verdana"/>
        <family val="2"/>
      </rPr>
      <t>縣道</t>
    </r>
    <r>
      <rPr>
        <sz val="9"/>
        <rFont val="Calibri"/>
        <family val="2"/>
      </rPr>
      <t>13.5K</t>
    </r>
    <r>
      <rPr>
        <sz val="9"/>
        <rFont val="Verdana"/>
        <family val="2"/>
      </rPr>
      <t>附近（慈濟山茶園內）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</si>
  <si>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C0E880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C2E880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</si>
  <si>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大甲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</si>
  <si>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C0F930</t>
  </si>
  <si>
    <t>100m</t>
  </si>
  <si>
    <r>
      <rPr>
        <sz val="9"/>
        <rFont val="Verdana"/>
        <family val="2"/>
      </rPr>
      <t>大甲區開元路</t>
    </r>
    <r>
      <rPr>
        <sz val="9"/>
        <rFont val="Calibri"/>
        <family val="2"/>
      </rPr>
      <t>71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大甲高級工業職業學校內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</si>
  <si>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(C1F930)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(C0F930)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C0F930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C2F930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</si>
  <si>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中竹林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</si>
  <si>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C0F9A0</t>
  </si>
  <si>
    <t>425m</t>
  </si>
  <si>
    <r>
      <rPr>
        <sz val="9"/>
        <rFont val="Verdana"/>
        <family val="2"/>
      </rPr>
      <t>太平區長龍路中埔二號橋至站址直線距離約</t>
    </r>
    <r>
      <rPr>
        <sz val="9"/>
        <rFont val="Calibri"/>
        <family val="2"/>
      </rPr>
      <t>1.7km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</si>
  <si>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(C1F9A0)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(C0F9A0)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C0F9A0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C2F9A0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</si>
  <si>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烏石坑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</si>
  <si>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C0FA00</t>
  </si>
  <si>
    <r>
      <rPr>
        <sz val="9"/>
        <rFont val="Verdana"/>
        <family val="2"/>
      </rPr>
      <t>和平區東崎路</t>
    </r>
    <r>
      <rPr>
        <sz val="9"/>
        <rFont val="Calibri"/>
        <family val="2"/>
      </rPr>
      <t>2</t>
    </r>
    <r>
      <rPr>
        <sz val="9"/>
        <rFont val="Verdana"/>
        <family val="2"/>
      </rPr>
      <t>段烏石巷</t>
    </r>
    <r>
      <rPr>
        <sz val="9"/>
        <rFont val="Calibri"/>
        <family val="2"/>
      </rPr>
      <t>109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</si>
  <si>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C0FA00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C2FA00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</si>
  <si>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鹿港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</si>
  <si>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C0G640</t>
  </si>
  <si>
    <r>
      <rPr>
        <sz val="9"/>
        <rFont val="Verdana"/>
        <family val="2"/>
      </rPr>
      <t>鹿港鎮海埔里顏厝巷</t>
    </r>
    <r>
      <rPr>
        <sz val="9"/>
        <rFont val="Calibri"/>
        <family val="2"/>
      </rPr>
      <t>67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行政院退輔會魚殖管理處彰化分場內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</si>
  <si>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C0G640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C2G640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</si>
  <si>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北斗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</si>
  <si>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C0G840</t>
  </si>
  <si>
    <r>
      <rPr>
        <sz val="9"/>
        <rFont val="Verdana"/>
        <family val="2"/>
      </rPr>
      <t>北斗鎮斗苑路二段</t>
    </r>
    <r>
      <rPr>
        <sz val="9"/>
        <rFont val="Calibri"/>
        <family val="2"/>
      </rPr>
      <t>150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螺陽國小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</si>
  <si>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C0G840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C2G840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</si>
  <si>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芳苑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</si>
  <si>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C0G870</t>
  </si>
  <si>
    <r>
      <rPr>
        <sz val="9"/>
        <rFont val="Verdana"/>
        <family val="2"/>
      </rPr>
      <t>芳苑鄉仁愛村斗苑路芳苑段</t>
    </r>
    <r>
      <rPr>
        <sz val="9"/>
        <rFont val="Calibri"/>
        <family val="2"/>
      </rPr>
      <t>211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芳苑國中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</si>
  <si>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C0G870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C2G870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</si>
  <si>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中寮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</si>
  <si>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C0H950</t>
  </si>
  <si>
    <t>192m</t>
  </si>
  <si>
    <r>
      <rPr>
        <sz val="9"/>
        <rFont val="Verdana"/>
        <family val="2"/>
      </rPr>
      <t>中寮鄉復興村初中巷</t>
    </r>
    <r>
      <rPr>
        <sz val="9"/>
        <rFont val="Calibri"/>
        <family val="2"/>
      </rPr>
      <t>50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中寮國中校園內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</si>
  <si>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(C1H950)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2011/11/1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(C0H950)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C0H950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C2H950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</si>
  <si>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鳳凰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</si>
  <si>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C0I090</t>
  </si>
  <si>
    <t>910m</t>
  </si>
  <si>
    <r>
      <rPr>
        <sz val="9"/>
        <rFont val="Verdana"/>
        <family val="2"/>
      </rPr>
      <t>鹿谷鄉鳳凰鳥園旁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</si>
  <si>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C0I090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C2I090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</si>
  <si>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草嶺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</si>
  <si>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C0K240</t>
  </si>
  <si>
    <t>1132m</t>
  </si>
  <si>
    <r>
      <rPr>
        <sz val="9"/>
        <rFont val="Verdana"/>
        <family val="2"/>
      </rPr>
      <t>古坑鄉草嶺村龍頭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</si>
  <si>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C0K240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C2K240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</si>
  <si>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馬頭山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</si>
  <si>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C0M410</t>
  </si>
  <si>
    <t>245m</t>
  </si>
  <si>
    <r>
      <rPr>
        <sz val="9"/>
        <rFont val="Verdana"/>
        <family val="2"/>
      </rPr>
      <t>大埔鄉永樂村</t>
    </r>
    <r>
      <rPr>
        <sz val="9"/>
        <rFont val="Calibri"/>
        <family val="2"/>
      </rPr>
      <t>1</t>
    </r>
    <r>
      <rPr>
        <sz val="9"/>
        <rFont val="Verdana"/>
        <family val="2"/>
      </rPr>
      <t>鄰內灣仔</t>
    </r>
    <r>
      <rPr>
        <sz val="9"/>
        <rFont val="Calibri"/>
        <family val="2"/>
      </rPr>
      <t>2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</si>
  <si>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 xml:space="preserve">2013/3/21 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完成驗收。原（</t>
    </r>
    <r>
      <rPr>
        <sz val="9"/>
        <rFont val="Calibri"/>
        <family val="2"/>
      </rPr>
      <t>C0M410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C2M410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</si>
  <si>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曾文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</si>
  <si>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C0O810</t>
  </si>
  <si>
    <r>
      <rPr>
        <sz val="9"/>
        <rFont val="Verdana"/>
        <family val="2"/>
      </rPr>
      <t>楠西區曾文新村</t>
    </r>
    <r>
      <rPr>
        <sz val="9"/>
        <rFont val="Calibri"/>
        <family val="2"/>
      </rPr>
      <t>(</t>
    </r>
    <r>
      <rPr>
        <sz val="9"/>
        <rFont val="Verdana"/>
        <family val="2"/>
      </rPr>
      <t>曾文水庫管理局內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</si>
  <si>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 xml:space="preserve"> 2013/5/9 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完成驗收。原（</t>
    </r>
    <r>
      <rPr>
        <sz val="9"/>
        <rFont val="Calibri"/>
        <family val="2"/>
      </rPr>
      <t>C0O810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C2O810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</si>
  <si>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玉井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</si>
  <si>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C0O930</t>
  </si>
  <si>
    <t>69m</t>
  </si>
  <si>
    <r>
      <rPr>
        <sz val="9"/>
        <rFont val="Verdana"/>
        <family val="2"/>
      </rPr>
      <t>玉井區台灣糖業公司玉井糖廠</t>
    </r>
  </si>
  <si>
    <r>
      <rPr>
        <sz val="9"/>
        <rFont val="Verdana"/>
        <family val="2"/>
      </rPr>
      <t>原（</t>
    </r>
    <r>
      <rPr>
        <sz val="9"/>
        <rFont val="Calibri"/>
        <family val="2"/>
      </rPr>
      <t>C0O930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C2O930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</si>
  <si>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安南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</si>
  <si>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C0O950</t>
  </si>
  <si>
    <t>4m</t>
  </si>
  <si>
    <r>
      <rPr>
        <sz val="9"/>
        <rFont val="Verdana"/>
        <family val="2"/>
      </rPr>
      <t>安南區公學路</t>
    </r>
    <r>
      <rPr>
        <sz val="9"/>
        <rFont val="Calibri"/>
        <family val="2"/>
      </rPr>
      <t>6</t>
    </r>
    <r>
      <rPr>
        <sz val="9"/>
        <rFont val="Verdana"/>
        <family val="2"/>
      </rPr>
      <t>段</t>
    </r>
    <r>
      <rPr>
        <sz val="9"/>
        <rFont val="Calibri"/>
        <family val="2"/>
      </rPr>
      <t>589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學東國民小學內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</si>
  <si>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(C1O950)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(C0O950)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C0O950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C2O950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</si>
  <si>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甲仙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</si>
  <si>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C0V250</t>
  </si>
  <si>
    <r>
      <rPr>
        <sz val="9"/>
        <rFont val="Verdana"/>
        <family val="2"/>
      </rPr>
      <t>甲仙區</t>
    </r>
    <r>
      <rPr>
        <sz val="9"/>
        <rFont val="Calibri"/>
        <family val="2"/>
      </rPr>
      <t>(</t>
    </r>
    <r>
      <rPr>
        <sz val="9"/>
        <rFont val="Verdana"/>
        <family val="2"/>
      </rPr>
      <t>甲仙國民中學操場後方小山丘上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</si>
  <si>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2013/3/13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2013/4/18</t>
    </r>
    <r>
      <rPr>
        <sz val="9"/>
        <rFont val="Verdana"/>
        <family val="2"/>
      </rPr>
      <t>完成驗收。原（</t>
    </r>
    <r>
      <rPr>
        <sz val="9"/>
        <rFont val="Calibri"/>
        <family val="2"/>
      </rPr>
      <t>C0V250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C2V250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</si>
  <si>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月眉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</si>
  <si>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C0V260</t>
  </si>
  <si>
    <r>
      <rPr>
        <sz val="9"/>
        <rFont val="Verdana"/>
        <family val="2"/>
      </rPr>
      <t>杉林區月眉里山仙路</t>
    </r>
    <r>
      <rPr>
        <sz val="9"/>
        <rFont val="Calibri"/>
        <family val="2"/>
      </rPr>
      <t>1</t>
    </r>
    <r>
      <rPr>
        <sz val="9"/>
        <rFont val="Verdana"/>
        <family val="2"/>
      </rPr>
      <t>號月眉農場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</si>
  <si>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(C1V260)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(C0V260)</t>
    </r>
    <r>
      <rPr>
        <sz val="9"/>
        <rFont val="Verdana"/>
        <family val="2"/>
      </rPr>
      <t>站。原（</t>
    </r>
    <r>
      <rPr>
        <sz val="9"/>
        <rFont val="Calibri"/>
        <family val="2"/>
      </rPr>
      <t>C0V260</t>
    </r>
    <r>
      <rPr>
        <sz val="9"/>
        <rFont val="Verdana"/>
        <family val="2"/>
      </rPr>
      <t>）氣象站於</t>
    </r>
    <r>
      <rPr>
        <sz val="9"/>
        <rFont val="Calibri"/>
        <family val="2"/>
      </rPr>
      <t>2024/01/08</t>
    </r>
    <r>
      <rPr>
        <sz val="9"/>
        <rFont val="Verdana"/>
        <family val="2"/>
      </rPr>
      <t>改為農業站（</t>
    </r>
    <r>
      <rPr>
        <sz val="9"/>
        <rFont val="Calibri"/>
        <family val="2"/>
      </rPr>
      <t>C2V260</t>
    </r>
    <r>
      <rPr>
        <sz val="9"/>
        <rFont val="Verdana"/>
        <family val="2"/>
      </rPr>
      <t>）。</t>
    </r>
  </si>
  <si>
    <r>
      <rPr>
        <sz val="9"/>
        <rFont val="Verdana"/>
        <family val="2"/>
      </rPr>
      <t>七股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</si>
  <si>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C0X310</t>
  </si>
  <si>
    <r>
      <rPr>
        <sz val="9"/>
        <rFont val="Verdana"/>
        <family val="2"/>
      </rPr>
      <t>七股區鹽埕</t>
    </r>
    <r>
      <rPr>
        <sz val="9"/>
        <rFont val="Calibri"/>
        <family val="2"/>
      </rPr>
      <t>237-11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氣象署七股雷達站區內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</si>
  <si>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瑞芳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</si>
  <si>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C0A660</t>
  </si>
  <si>
    <r>
      <rPr>
        <sz val="9"/>
        <rFont val="Verdana"/>
        <family val="2"/>
      </rPr>
      <t>瑞芳區</t>
    </r>
    <r>
      <rPr>
        <sz val="9"/>
        <rFont val="Calibri"/>
        <family val="2"/>
      </rPr>
      <t>22403</t>
    </r>
    <r>
      <rPr>
        <sz val="9"/>
        <rFont val="Verdana"/>
        <family val="2"/>
      </rPr>
      <t>龍山里逢甲路</t>
    </r>
    <r>
      <rPr>
        <sz val="9"/>
        <rFont val="Calibri"/>
        <family val="2"/>
      </rPr>
      <t>360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義方國民小學校園內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</si>
  <si>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(C1A660)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(C0A660)</t>
    </r>
    <r>
      <rPr>
        <sz val="9"/>
        <rFont val="Verdana"/>
        <family val="2"/>
      </rPr>
      <t>站。於</t>
    </r>
    <r>
      <rPr>
        <sz val="9"/>
        <rFont val="Calibri"/>
        <family val="2"/>
      </rPr>
      <t>2024/05/27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</si>
  <si>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福隆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</si>
  <si>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C0A880</t>
  </si>
  <si>
    <r>
      <rPr>
        <sz val="9"/>
        <rFont val="Verdana"/>
        <family val="2"/>
      </rPr>
      <t>貢寮區東北角海岸國家風景管理處之福隆遊客中心後方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</si>
  <si>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2024/05/28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</si>
  <si>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富貴角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</si>
  <si>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C0A920</t>
  </si>
  <si>
    <t>196m</t>
  </si>
  <si>
    <r>
      <rPr>
        <sz val="9"/>
        <rFont val="Verdana"/>
        <family val="2"/>
      </rPr>
      <t>石門區山溪里</t>
    </r>
    <r>
      <rPr>
        <sz val="9"/>
        <rFont val="Calibri"/>
        <family val="2"/>
      </rPr>
      <t>10</t>
    </r>
    <r>
      <rPr>
        <sz val="9"/>
        <rFont val="Verdana"/>
        <family val="2"/>
      </rPr>
      <t>鄰九芎林</t>
    </r>
    <r>
      <rPr>
        <sz val="9"/>
        <rFont val="Calibri"/>
        <family val="2"/>
      </rPr>
      <t>13</t>
    </r>
    <r>
      <rPr>
        <sz val="9"/>
        <rFont val="Verdana"/>
        <family val="2"/>
      </rPr>
      <t>號旁</t>
    </r>
    <r>
      <rPr>
        <sz val="9"/>
        <rFont val="Calibri"/>
        <family val="2"/>
      </rPr>
      <t>(</t>
    </r>
    <r>
      <rPr>
        <sz val="9"/>
        <rFont val="Verdana"/>
        <family val="2"/>
      </rPr>
      <t>石門國小山溪分班附近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</si>
  <si>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2024/05/29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</si>
  <si>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火燒寮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</si>
  <si>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C0A650</t>
  </si>
  <si>
    <t>287m</t>
  </si>
  <si>
    <r>
      <rPr>
        <sz val="9"/>
        <rFont val="Verdana"/>
        <family val="2"/>
      </rPr>
      <t>平溪區東勢里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</si>
  <si>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(C1A650)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2009/12/1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(C0A650)</t>
    </r>
    <r>
      <rPr>
        <sz val="9"/>
        <rFont val="Verdana"/>
        <family val="2"/>
      </rPr>
      <t>站。於</t>
    </r>
    <r>
      <rPr>
        <sz val="9"/>
        <rFont val="Calibri"/>
        <family val="2"/>
      </rPr>
      <t>2024/05/30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</si>
  <si>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四堵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</si>
  <si>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C0A540</t>
  </si>
  <si>
    <t>401m</t>
  </si>
  <si>
    <r>
      <rPr>
        <sz val="9"/>
        <rFont val="Verdana"/>
        <family val="2"/>
      </rPr>
      <t>坪林區碧湖</t>
    </r>
    <r>
      <rPr>
        <sz val="9"/>
        <rFont val="Calibri"/>
        <family val="2"/>
      </rPr>
      <t>(</t>
    </r>
    <r>
      <rPr>
        <sz val="9"/>
        <rFont val="Verdana"/>
        <family val="2"/>
      </rPr>
      <t>北宜路旁之碧湖橋道路上行約</t>
    </r>
    <r>
      <rPr>
        <sz val="9"/>
        <rFont val="Calibri"/>
        <family val="2"/>
      </rPr>
      <t>10</t>
    </r>
    <r>
      <rPr>
        <sz val="9"/>
        <rFont val="Verdana"/>
        <family val="2"/>
      </rPr>
      <t>分鐘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</si>
  <si>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2024/05/31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</si>
  <si>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福山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</si>
  <si>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C0A560</t>
  </si>
  <si>
    <t>405m</t>
  </si>
  <si>
    <r>
      <rPr>
        <sz val="9"/>
        <rFont val="Verdana"/>
        <family val="2"/>
      </rPr>
      <t>烏來區福山里李茂岸八號</t>
    </r>
    <r>
      <rPr>
        <sz val="9"/>
        <rFont val="Calibri"/>
        <family val="2"/>
      </rPr>
      <t>(</t>
    </r>
    <r>
      <rPr>
        <sz val="9"/>
        <rFont val="Verdana"/>
        <family val="2"/>
      </rPr>
      <t>福山國小旁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</si>
  <si>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2024/06/03</t>
    </r>
    <r>
      <rPr>
        <sz val="9"/>
        <rFont val="Verdana"/>
        <family val="2"/>
      </rPr>
      <t>撤銷。</t>
    </r>
  </si>
  <si>
    <t>C0F861</t>
  </si>
  <si>
    <t>2215m</t>
  </si>
  <si>
    <r>
      <rPr>
        <sz val="9"/>
        <rFont val="Verdana"/>
        <family val="2"/>
      </rPr>
      <t>和平區梨山里福壽路</t>
    </r>
    <r>
      <rPr>
        <sz val="9"/>
        <rFont val="Calibri"/>
        <family val="2"/>
      </rPr>
      <t>29</t>
    </r>
    <r>
      <rPr>
        <sz val="9"/>
        <rFont val="Verdana"/>
        <family val="2"/>
      </rPr>
      <t>號（福壽山農場）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</si>
  <si>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2024/06/04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</si>
  <si>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三芝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</si>
  <si>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C0AD00</t>
  </si>
  <si>
    <r>
      <rPr>
        <sz val="9"/>
        <rFont val="Verdana"/>
        <family val="2"/>
      </rPr>
      <t>三芝區育英路</t>
    </r>
    <r>
      <rPr>
        <sz val="9"/>
        <rFont val="Calibri"/>
        <family val="2"/>
      </rPr>
      <t>22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三芝國小內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</si>
  <si>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於</t>
    </r>
    <r>
      <rPr>
        <sz val="9"/>
        <rFont val="Calibri"/>
        <family val="2"/>
      </rPr>
      <t>2024/06/14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</si>
  <si>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屏東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</si>
  <si>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C0R170</t>
  </si>
  <si>
    <r>
      <rPr>
        <sz val="9"/>
        <rFont val="Verdana"/>
        <family val="2"/>
      </rPr>
      <t>屏東市復興路</t>
    </r>
    <r>
      <rPr>
        <sz val="9"/>
        <rFont val="Calibri"/>
        <family val="2"/>
      </rPr>
      <t>245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台灣糖業公司屏東區處場區內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</si>
  <si>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原為雨量站</t>
    </r>
    <r>
      <rPr>
        <sz val="9"/>
        <rFont val="Calibri"/>
        <family val="2"/>
      </rPr>
      <t>(C1R170)</t>
    </r>
    <r>
      <rPr>
        <sz val="9"/>
        <rFont val="Verdana"/>
        <family val="2"/>
      </rPr>
      <t>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升級為氣象站，變更站碼為</t>
    </r>
    <r>
      <rPr>
        <sz val="9"/>
        <rFont val="Calibri"/>
        <family val="2"/>
      </rPr>
      <t>(C0R170)</t>
    </r>
    <r>
      <rPr>
        <sz val="9"/>
        <rFont val="Verdana"/>
        <family val="2"/>
      </rPr>
      <t>。原氣象站</t>
    </r>
    <r>
      <rPr>
        <sz val="9"/>
        <rFont val="Calibri"/>
        <family val="2"/>
      </rPr>
      <t>(C0R170)</t>
    </r>
    <r>
      <rPr>
        <sz val="9"/>
        <rFont val="Verdana"/>
        <family val="2"/>
      </rPr>
      <t>，於</t>
    </r>
    <r>
      <rPr>
        <sz val="9"/>
        <rFont val="Calibri"/>
        <family val="2"/>
      </rPr>
      <t>2025/02/28</t>
    </r>
    <r>
      <rPr>
        <sz val="9"/>
        <rFont val="Verdana"/>
        <family val="2"/>
      </rPr>
      <t>完成儀器汰換，轉為農業氣象站</t>
    </r>
    <r>
      <rPr>
        <sz val="9"/>
        <rFont val="Calibri"/>
        <family val="2"/>
      </rPr>
      <t>(C2R170)</t>
    </r>
    <r>
      <rPr>
        <sz val="9"/>
        <rFont val="Verdana"/>
        <family val="2"/>
      </rPr>
      <t>。</t>
    </r>
  </si>
  <si>
    <r>
      <rPr>
        <sz val="9"/>
        <rFont val="Verdana"/>
        <family val="2"/>
      </rPr>
      <t>美濃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</si>
  <si>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C0V310</t>
  </si>
  <si>
    <r>
      <rPr>
        <sz val="9"/>
        <rFont val="Verdana"/>
        <family val="2"/>
      </rPr>
      <t>美濃區福安里中山路二段</t>
    </r>
    <r>
      <rPr>
        <sz val="9"/>
        <rFont val="Calibri"/>
        <family val="2"/>
      </rPr>
      <t>204</t>
    </r>
    <r>
      <rPr>
        <sz val="9"/>
        <rFont val="Verdana"/>
        <family val="2"/>
      </rPr>
      <t>巷</t>
    </r>
    <r>
      <rPr>
        <sz val="9"/>
        <rFont val="Calibri"/>
        <family val="2"/>
      </rPr>
      <t>65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美濃區福安國小後方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</si>
  <si>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 xml:space="preserve"> 2013/6/15 </t>
    </r>
    <r>
      <rPr>
        <sz val="9"/>
        <rFont val="Verdana"/>
        <family val="2"/>
      </rPr>
      <t>進行儀器汰換，並於</t>
    </r>
    <r>
      <rPr>
        <sz val="9"/>
        <rFont val="Calibri"/>
        <family val="2"/>
      </rPr>
      <t>2013/8/1</t>
    </r>
    <r>
      <rPr>
        <sz val="9"/>
        <rFont val="Verdana"/>
        <family val="2"/>
      </rPr>
      <t>完成驗收。原氣象站</t>
    </r>
    <r>
      <rPr>
        <sz val="9"/>
        <rFont val="Calibri"/>
        <family val="2"/>
      </rPr>
      <t>(C0V310)</t>
    </r>
    <r>
      <rPr>
        <sz val="9"/>
        <rFont val="Verdana"/>
        <family val="2"/>
      </rPr>
      <t>，於</t>
    </r>
    <r>
      <rPr>
        <sz val="9"/>
        <rFont val="Calibri"/>
        <family val="2"/>
      </rPr>
      <t>2025/02/28</t>
    </r>
    <r>
      <rPr>
        <sz val="9"/>
        <rFont val="Verdana"/>
        <family val="2"/>
      </rPr>
      <t>完成儀器汰換，轉為農業氣象站</t>
    </r>
    <r>
      <rPr>
        <sz val="9"/>
        <rFont val="Calibri"/>
        <family val="2"/>
      </rPr>
      <t>(C2V310)</t>
    </r>
    <r>
      <rPr>
        <sz val="9"/>
        <rFont val="Verdana"/>
        <family val="2"/>
      </rPr>
      <t>。</t>
    </r>
  </si>
  <si>
    <r>
      <rPr>
        <sz val="9"/>
        <rFont val="Verdana"/>
        <family val="2"/>
      </rPr>
      <t>獅子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</si>
  <si>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C0R740</t>
  </si>
  <si>
    <r>
      <rPr>
        <sz val="9"/>
        <rFont val="Verdana"/>
        <family val="2"/>
      </rPr>
      <t>獅子鄉楓林村</t>
    </r>
    <r>
      <rPr>
        <sz val="9"/>
        <rFont val="Calibri"/>
        <family val="2"/>
      </rPr>
      <t>2</t>
    </r>
    <r>
      <rPr>
        <sz val="9"/>
        <rFont val="Verdana"/>
        <family val="2"/>
      </rPr>
      <t>巷</t>
    </r>
    <r>
      <rPr>
        <sz val="9"/>
        <rFont val="Calibri"/>
        <family val="2"/>
      </rPr>
      <t>26</t>
    </r>
    <r>
      <rPr>
        <sz val="9"/>
        <rFont val="Verdana"/>
        <family val="2"/>
      </rPr>
      <t>號</t>
    </r>
  </si>
  <si>
    <r>
      <rPr>
        <sz val="9"/>
        <rFont val="Verdana"/>
        <family val="2"/>
      </rPr>
      <t>來義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</si>
  <si>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C0R240</t>
  </si>
  <si>
    <r>
      <rPr>
        <sz val="9"/>
        <rFont val="Verdana"/>
        <family val="2"/>
      </rPr>
      <t>萬巒鄉新隆路</t>
    </r>
    <r>
      <rPr>
        <sz val="9"/>
        <rFont val="Calibri"/>
        <family val="2"/>
      </rPr>
      <t>64</t>
    </r>
    <r>
      <rPr>
        <sz val="9"/>
        <rFont val="Verdana"/>
        <family val="2"/>
      </rPr>
      <t>號萬巒農場（佳佐段</t>
    </r>
    <r>
      <rPr>
        <sz val="9"/>
        <rFont val="Calibri"/>
        <family val="2"/>
      </rPr>
      <t>180</t>
    </r>
    <r>
      <rPr>
        <sz val="9"/>
        <rFont val="Verdana"/>
        <family val="2"/>
      </rPr>
      <t>號）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</si>
  <si>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(C1R240)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2013/12/1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(C0R240)</t>
    </r>
    <r>
      <rPr>
        <sz val="9"/>
        <rFont val="Verdana"/>
        <family val="2"/>
      </rPr>
      <t>站。於</t>
    </r>
    <r>
      <rPr>
        <sz val="9"/>
        <rFont val="Calibri"/>
        <family val="2"/>
      </rPr>
      <t>2025-08-01</t>
    </r>
    <r>
      <rPr>
        <sz val="9"/>
        <rFont val="Verdana"/>
        <family val="2"/>
      </rPr>
      <t>撤銷。</t>
    </r>
  </si>
  <si>
    <r>
      <rPr>
        <sz val="9"/>
        <rFont val="Verdana"/>
        <family val="2"/>
      </rPr>
      <t>下營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</si>
  <si>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C0X060</t>
  </si>
  <si>
    <r>
      <rPr>
        <sz val="9"/>
        <rFont val="Verdana"/>
        <family val="2"/>
      </rPr>
      <t>下營區仁里里下營國小附近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</si>
  <si>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(C1X060)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2015/7/1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(C0X060)</t>
    </r>
    <r>
      <rPr>
        <sz val="9"/>
        <rFont val="Verdana"/>
        <family val="2"/>
      </rPr>
      <t>站，升級後經緯度重測。原</t>
    </r>
    <r>
      <rPr>
        <sz val="9"/>
        <rFont val="Calibri"/>
        <family val="2"/>
      </rPr>
      <t>(C0X060)</t>
    </r>
    <r>
      <rPr>
        <sz val="9"/>
        <rFont val="Verdana"/>
        <family val="2"/>
      </rPr>
      <t>站因儀器汰換，於</t>
    </r>
    <r>
      <rPr>
        <sz val="9"/>
        <rFont val="Calibri"/>
        <family val="2"/>
      </rPr>
      <t>2025/8/12</t>
    </r>
    <r>
      <rPr>
        <sz val="9"/>
        <rFont val="Verdana"/>
        <family val="2"/>
      </rPr>
      <t>轉為農業</t>
    </r>
    <r>
      <rPr>
        <sz val="9"/>
        <rFont val="Calibri"/>
        <family val="2"/>
      </rPr>
      <t>(C2X060)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</si>
  <si>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崙背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</si>
  <si>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C0K250</t>
  </si>
  <si>
    <r>
      <rPr>
        <sz val="9"/>
        <rFont val="Verdana"/>
        <family val="2"/>
      </rPr>
      <t>崙背鄉阿勸村阿勸農場</t>
    </r>
    <r>
      <rPr>
        <sz val="9"/>
        <rFont val="Calibri"/>
        <family val="2"/>
      </rPr>
      <t>(</t>
    </r>
    <r>
      <rPr>
        <sz val="9"/>
        <rFont val="Verdana"/>
        <family val="2"/>
      </rPr>
      <t>阿勸段</t>
    </r>
    <r>
      <rPr>
        <sz val="9"/>
        <rFont val="Calibri"/>
        <family val="2"/>
      </rPr>
      <t>487</t>
    </r>
    <r>
      <rPr>
        <sz val="9"/>
        <rFont val="Verdana"/>
        <family val="2"/>
      </rPr>
      <t>號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</si>
  <si>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原</t>
    </r>
    <r>
      <rPr>
        <sz val="9"/>
        <rFont val="Calibri"/>
        <family val="2"/>
      </rPr>
      <t>(C1K250)</t>
    </r>
    <r>
      <rPr>
        <sz val="9"/>
        <rFont val="Verdana"/>
        <family val="2"/>
      </rPr>
      <t>站因擴充為氣象站，於</t>
    </r>
    <r>
      <rPr>
        <sz val="9"/>
        <rFont val="Calibri"/>
        <family val="2"/>
      </rPr>
      <t>2015/6/8</t>
    </r>
    <r>
      <rPr>
        <sz val="9"/>
        <rFont val="Verdana"/>
        <family val="2"/>
      </rPr>
      <t>升級為</t>
    </r>
    <r>
      <rPr>
        <sz val="9"/>
        <rFont val="Calibri"/>
        <family val="2"/>
      </rPr>
      <t>(C0K250)</t>
    </r>
    <r>
      <rPr>
        <sz val="9"/>
        <rFont val="Verdana"/>
        <family val="2"/>
      </rPr>
      <t>站。原</t>
    </r>
    <r>
      <rPr>
        <sz val="9"/>
        <rFont val="Calibri"/>
        <family val="2"/>
      </rPr>
      <t>(C0K250)</t>
    </r>
    <r>
      <rPr>
        <sz val="9"/>
        <rFont val="Verdana"/>
        <family val="2"/>
      </rPr>
      <t>站因儀器汰換，於</t>
    </r>
    <r>
      <rPr>
        <sz val="9"/>
        <rFont val="Calibri"/>
        <family val="2"/>
      </rPr>
      <t>2025/8/16</t>
    </r>
    <r>
      <rPr>
        <sz val="9"/>
        <rFont val="Verdana"/>
        <family val="2"/>
      </rPr>
      <t>轉為農業</t>
    </r>
    <r>
      <rPr>
        <sz val="9"/>
        <rFont val="Calibri"/>
        <family val="2"/>
      </rPr>
      <t>(C2K250)</t>
    </r>
    <r>
      <rPr>
        <sz val="9"/>
        <rFont val="Verdana"/>
        <family val="2"/>
      </rPr>
      <t>站。</t>
    </r>
  </si>
  <si>
    <r>
      <rPr>
        <sz val="9"/>
        <rFont val="Verdana"/>
        <family val="2"/>
      </rPr>
      <t>四湖</t>
    </r>
    <r>
      <rPr>
        <sz val="9"/>
        <rFont val="Calibri"/>
        <family val="2"/>
      </rPr>
      <t xml:space="preserve"> (</t>
    </r>
    <r>
      <rPr>
        <sz val="9"/>
        <rFont val="Verdana"/>
        <family val="2"/>
      </rPr>
      <t>撤銷站</t>
    </r>
    <r>
      <rPr>
        <sz val="9"/>
        <rFont val="Calibri"/>
        <family val="2"/>
      </rPr>
      <t>)</t>
    </r>
  </si>
  <si>
    <t>C0K280</t>
  </si>
  <si>
    <r>
      <rPr>
        <sz val="9"/>
        <rFont val="Verdana"/>
        <family val="2"/>
      </rPr>
      <t>四湖鄉湖西村中正路</t>
    </r>
    <r>
      <rPr>
        <sz val="9"/>
        <rFont val="Calibri"/>
        <family val="2"/>
      </rPr>
      <t>766</t>
    </r>
    <r>
      <rPr>
        <sz val="9"/>
        <rFont val="Verdana"/>
        <family val="2"/>
      </rPr>
      <t>號</t>
    </r>
    <r>
      <rPr>
        <sz val="9"/>
        <rFont val="Calibri"/>
        <family val="2"/>
      </rPr>
      <t>(</t>
    </r>
    <r>
      <rPr>
        <sz val="9"/>
        <rFont val="Verdana"/>
        <family val="2"/>
      </rPr>
      <t>四湖國民中學內</t>
    </r>
    <r>
      <rPr>
        <sz val="9"/>
        <rFont val="Calibri"/>
        <family val="2"/>
      </rPr>
      <t>)</t>
    </r>
  </si>
  <si>
    <r>
      <rPr>
        <sz val="9"/>
        <rFont val="Verdana"/>
        <family val="2"/>
      </rPr>
      <t>本站於</t>
    </r>
    <r>
      <rPr>
        <sz val="9"/>
        <rFont val="Calibri"/>
        <family val="2"/>
      </rPr>
      <t>2015/7/18</t>
    </r>
    <r>
      <rPr>
        <sz val="9"/>
        <rFont val="Verdana"/>
        <family val="2"/>
      </rPr>
      <t>起進行儀器汰換，並於</t>
    </r>
    <r>
      <rPr>
        <sz val="9"/>
        <rFont val="Calibri"/>
        <family val="2"/>
      </rPr>
      <t>2015/12/31</t>
    </r>
    <r>
      <rPr>
        <sz val="9"/>
        <rFont val="Verdana"/>
        <family val="2"/>
      </rPr>
      <t>完成驗收。原</t>
    </r>
    <r>
      <rPr>
        <sz val="9"/>
        <rFont val="Calibri"/>
        <family val="2"/>
      </rPr>
      <t>(C0K280)</t>
    </r>
    <r>
      <rPr>
        <sz val="9"/>
        <rFont val="Verdana"/>
        <family val="2"/>
      </rPr>
      <t>站因儀器汰換，於</t>
    </r>
    <r>
      <rPr>
        <sz val="9"/>
        <rFont val="Calibri"/>
        <family val="2"/>
      </rPr>
      <t>2025/8/16</t>
    </r>
    <r>
      <rPr>
        <sz val="9"/>
        <rFont val="Verdana"/>
        <family val="2"/>
      </rPr>
      <t>轉為農業</t>
    </r>
    <r>
      <rPr>
        <sz val="9"/>
        <rFont val="Calibri"/>
        <family val="2"/>
      </rPr>
      <t>(C2K280)</t>
    </r>
    <r>
      <rPr>
        <sz val="9"/>
        <rFont val="Verdana"/>
        <family val="2"/>
      </rPr>
      <t>站。</t>
    </r>
  </si>
  <si>
    <t>列標籤</t>
  </si>
  <si>
    <t>宜蘭縣</t>
  </si>
  <si>
    <t>花蓮縣</t>
  </si>
  <si>
    <t>金門縣</t>
  </si>
  <si>
    <t>南投縣</t>
  </si>
  <si>
    <t>屏東縣</t>
  </si>
  <si>
    <t>苗栗縣</t>
  </si>
  <si>
    <t>桃園市</t>
  </si>
  <si>
    <t>高雄市</t>
  </si>
  <si>
    <t>基隆市</t>
  </si>
  <si>
    <t>連江縣</t>
  </si>
  <si>
    <t>雲林縣</t>
  </si>
  <si>
    <t>新北市</t>
  </si>
  <si>
    <t>新竹市</t>
  </si>
  <si>
    <t>新竹縣</t>
  </si>
  <si>
    <t>嘉義市</t>
  </si>
  <si>
    <t>嘉義縣</t>
  </si>
  <si>
    <t>彰化縣</t>
  </si>
  <si>
    <t>臺中市</t>
  </si>
  <si>
    <t>臺北市</t>
  </si>
  <si>
    <t>臺東縣</t>
  </si>
  <si>
    <t>臺南市</t>
  </si>
  <si>
    <t>澎湖縣</t>
  </si>
  <si>
    <t>總計</t>
  </si>
  <si>
    <t>三峽</t>
  </si>
  <si>
    <t>湖口</t>
  </si>
  <si>
    <t>苗栗</t>
  </si>
  <si>
    <t>溪州</t>
  </si>
  <si>
    <t>埔里</t>
  </si>
  <si>
    <t>虎尾</t>
  </si>
  <si>
    <t>民雄</t>
  </si>
  <si>
    <t>善化</t>
  </si>
  <si>
    <t>旗山</t>
  </si>
  <si>
    <t>里港</t>
  </si>
  <si>
    <t>玉里</t>
  </si>
  <si>
    <t>關山</t>
  </si>
  <si>
    <r>
      <t>Gemini</t>
    </r>
    <r>
      <rPr>
        <sz val="9"/>
        <rFont val="Microsoft JhengHei"/>
        <family val="2"/>
      </rPr>
      <t>建議</t>
    </r>
    <phoneticPr fontId="3" type="noConversion"/>
  </si>
  <si>
    <t>站名</t>
  </si>
  <si>
    <t>城市</t>
  </si>
  <si>
    <t>分類</t>
  </si>
  <si>
    <t>低海拔代表站</t>
  </si>
  <si>
    <t>嘉義市東區</t>
  </si>
  <si>
    <t>七堵</t>
  </si>
  <si>
    <t>羅東</t>
  </si>
  <si>
    <t>新竹市東區</t>
  </si>
  <si>
    <t>大溪</t>
  </si>
  <si>
    <t>東勢</t>
  </si>
  <si>
    <t>社子</t>
  </si>
  <si>
    <t>金寧</t>
  </si>
  <si>
    <t>高海拔測站 (全)</t>
  </si>
  <si>
    <t>信義</t>
  </si>
  <si>
    <t>魚池</t>
  </si>
  <si>
    <t>廬山</t>
  </si>
  <si>
    <t>仁愛</t>
  </si>
  <si>
    <t>萬大林道</t>
  </si>
  <si>
    <t>梅峰</t>
  </si>
  <si>
    <t>里佳</t>
  </si>
  <si>
    <t>奮起湖</t>
  </si>
  <si>
    <t>達邦</t>
  </si>
  <si>
    <t>新美</t>
  </si>
  <si>
    <t>雙連埤</t>
  </si>
  <si>
    <t>南山</t>
  </si>
  <si>
    <t>太平山</t>
  </si>
  <si>
    <t>翠峰湖</t>
  </si>
  <si>
    <t>多加屯</t>
  </si>
  <si>
    <t>鴛鴦湖</t>
  </si>
  <si>
    <t>西德山</t>
  </si>
  <si>
    <t>舊泰武</t>
  </si>
  <si>
    <t>阿禮</t>
  </si>
  <si>
    <t>大漢山</t>
  </si>
  <si>
    <t>尾寮山</t>
  </si>
  <si>
    <t>福山植物園</t>
  </si>
  <si>
    <t>五指山</t>
  </si>
  <si>
    <t>五分山</t>
  </si>
  <si>
    <t>梅花</t>
  </si>
  <si>
    <t>樂山林道6k</t>
  </si>
  <si>
    <t>大坪苗圃</t>
  </si>
  <si>
    <t>雪霸</t>
  </si>
  <si>
    <t>復興</t>
  </si>
  <si>
    <t>東眼山</t>
  </si>
  <si>
    <t>四稜</t>
  </si>
  <si>
    <t>新社</t>
  </si>
  <si>
    <t>中坑</t>
  </si>
  <si>
    <t>大雪山</t>
  </si>
  <si>
    <t>鞍馬山工作站</t>
  </si>
  <si>
    <t>小雪山天池</t>
  </si>
  <si>
    <t>大雪山埡口</t>
  </si>
  <si>
    <t>大屯山</t>
  </si>
  <si>
    <t>下馬</t>
  </si>
  <si>
    <t>紅石</t>
  </si>
  <si>
    <t>金崙山</t>
  </si>
  <si>
    <t>向陽</t>
  </si>
  <si>
    <t>鳳林山</t>
  </si>
  <si>
    <t>佳心</t>
  </si>
  <si>
    <t>天祥</t>
  </si>
  <si>
    <t>和平林道</t>
  </si>
  <si>
    <t>瑞穗林道</t>
  </si>
  <si>
    <t>清水林道</t>
  </si>
  <si>
    <t>立霧山</t>
  </si>
  <si>
    <t>雪見</t>
  </si>
  <si>
    <t>觀霧分站</t>
  </si>
  <si>
    <t>輔助欄位</t>
    <phoneticPr fontId="3" type="noConversion"/>
  </si>
  <si>
    <t>神木村</t>
  </si>
  <si>
    <t>表湖</t>
  </si>
  <si>
    <t>坪林石牌</t>
  </si>
  <si>
    <t>太平山中間站</t>
  </si>
  <si>
    <t>太平山莊</t>
  </si>
  <si>
    <t>明池</t>
  </si>
  <si>
    <t>桃源谷</t>
  </si>
  <si>
    <t>樟樹山</t>
  </si>
  <si>
    <t>白嶺</t>
  </si>
  <si>
    <t>翠峰林道6K</t>
  </si>
  <si>
    <t>西帽山</t>
  </si>
  <si>
    <t>鶯子嶺</t>
  </si>
  <si>
    <t>四林格山</t>
  </si>
  <si>
    <t>牡丹池山</t>
  </si>
  <si>
    <t>瑪家</t>
  </si>
  <si>
    <t>白鷺</t>
  </si>
  <si>
    <t>硬漢嶺</t>
  </si>
  <si>
    <t>中橫21.6k</t>
  </si>
  <si>
    <t>八仙山苗圃</t>
  </si>
  <si>
    <t>出雲山苗圃</t>
  </si>
  <si>
    <t>雪山橋</t>
  </si>
  <si>
    <t>勝林山</t>
  </si>
  <si>
    <t>太麻里</t>
  </si>
  <si>
    <t>知本</t>
  </si>
  <si>
    <t>加路蘭山</t>
  </si>
  <si>
    <t>水源</t>
  </si>
  <si>
    <t>秀林</t>
  </si>
  <si>
    <t>赤柯山</t>
  </si>
  <si>
    <t>松安</t>
  </si>
  <si>
    <t>馬都安</t>
  </si>
  <si>
    <t>花嶼</t>
  </si>
  <si>
    <t>東莒</t>
  </si>
  <si>
    <t>最小 - 設站日期</t>
  </si>
  <si>
    <t>最大 - 設站日期</t>
  </si>
  <si>
    <t>Gemini建議</t>
  </si>
  <si>
    <t>(多重項目)</t>
  </si>
  <si>
    <t>note</t>
    <phoneticPr fontId="3" type="noConversion"/>
  </si>
  <si>
    <r>
      <rPr>
        <sz val="9"/>
        <rFont val="Microsoft JhengHei"/>
        <family val="2"/>
      </rPr>
      <t>桃園高海拔</t>
    </r>
    <r>
      <rPr>
        <sz val="9"/>
        <rFont val="Calibri"/>
        <family val="2"/>
      </rPr>
      <t>(&gt;500m)</t>
    </r>
    <r>
      <rPr>
        <sz val="9"/>
        <rFont val="Microsoft JhengHei"/>
        <family val="2"/>
      </rPr>
      <t>皆在</t>
    </r>
    <r>
      <rPr>
        <sz val="9"/>
        <rFont val="Calibri"/>
        <family val="2"/>
      </rPr>
      <t>2025</t>
    </r>
    <r>
      <rPr>
        <sz val="9"/>
        <rFont val="Microsoft JhengHei"/>
        <family val="2"/>
      </rPr>
      <t>後才設立，為免資料缺失故退而求其次，使用482</t>
    </r>
    <r>
      <rPr>
        <sz val="9"/>
        <rFont val="Calibri"/>
        <family val="2"/>
      </rPr>
      <t>m</t>
    </r>
    <r>
      <rPr>
        <sz val="9"/>
        <rFont val="Microsoft JhengHei"/>
        <family val="2"/>
      </rPr>
      <t>作為代表</t>
    </r>
    <phoneticPr fontId="3" type="noConversion"/>
  </si>
  <si>
    <t>篩選原則</t>
    <phoneticPr fontId="3" type="noConversion"/>
  </si>
  <si>
    <t>排除所有撤除站</t>
    <phoneticPr fontId="3" type="noConversion"/>
  </si>
  <si>
    <t>低海拔各自篩選一個氣象站作為代表(該站必須在2020年前設立，避免資料缺失)</t>
    <phoneticPr fontId="3" type="noConversion"/>
  </si>
  <si>
    <t>高海拔則是各縣市的氣象站都要選取(&gt;500m定義為高海拔)</t>
    <phoneticPr fontId="3" type="noConversion"/>
  </si>
  <si>
    <t>{"city_id":</t>
  </si>
  <si>
    <t>"city_name":</t>
  </si>
  <si>
    <t>"station_id":</t>
  </si>
  <si>
    <t>city_id</t>
    <phoneticPr fontId="3" type="noConversion"/>
  </si>
  <si>
    <t>,</t>
  </si>
  <si>
    <t>TPE</t>
  </si>
  <si>
    <t>NTP</t>
  </si>
  <si>
    <t>TYN</t>
  </si>
  <si>
    <t>HSC</t>
  </si>
  <si>
    <t>HSQ</t>
  </si>
  <si>
    <t>MLI</t>
  </si>
  <si>
    <t>TXG</t>
  </si>
  <si>
    <t>CHA</t>
  </si>
  <si>
    <t>NTO</t>
  </si>
  <si>
    <t>YUN</t>
  </si>
  <si>
    <t>CYI</t>
  </si>
  <si>
    <t>CYQ</t>
  </si>
  <si>
    <t>TNN</t>
  </si>
  <si>
    <t>KHH</t>
  </si>
  <si>
    <t>PIF</t>
  </si>
  <si>
    <t>ILA</t>
  </si>
  <si>
    <t>HUA</t>
  </si>
  <si>
    <t>TTT</t>
  </si>
  <si>
    <t>PEN</t>
  </si>
  <si>
    <t>KIN</t>
  </si>
  <si>
    <t>LIE</t>
  </si>
  <si>
    <t>KEE</t>
  </si>
  <si>
    <t>"</t>
    <phoneticPr fontId="3" type="noConversion"/>
  </si>
  <si>
    <t>},</t>
  </si>
  <si>
    <t>城市代碼</t>
    <phoneticPr fontId="3" type="noConversion"/>
  </si>
  <si>
    <t>城市名稱</t>
    <phoneticPr fontId="3" type="noConversion"/>
  </si>
  <si>
    <t>站別編號</t>
    <phoneticPr fontId="3" type="noConversion"/>
  </si>
  <si>
    <r>
      <rPr>
        <sz val="10"/>
        <color theme="1"/>
        <rFont val="微軟正黑體"/>
        <family val="2"/>
        <charset val="136"/>
      </rPr>
      <t>高度</t>
    </r>
    <r>
      <rPr>
        <sz val="10"/>
        <color theme="1"/>
        <rFont val="Arial"/>
        <family val="2"/>
      </rPr>
      <t>(m)</t>
    </r>
    <phoneticPr fontId="3" type="noConversion"/>
  </si>
  <si>
    <t>刪除2700m以上的氣象站(因為沒有水果種植)</t>
    <phoneticPr fontId="3" type="noConversion"/>
  </si>
  <si>
    <t>海拔分類</t>
    <phoneticPr fontId="3" type="noConversion"/>
  </si>
  <si>
    <t>"Altitude":</t>
    <phoneticPr fontId="3" type="noConversion"/>
  </si>
  <si>
    <t>High</t>
  </si>
  <si>
    <t>Low</t>
  </si>
  <si>
    <t>,</t>
    <phoneticPr fontId="3" type="noConversion"/>
  </si>
  <si>
    <r>
      <rPr>
        <sz val="10"/>
        <color theme="1"/>
        <rFont val="Microsoft JhengHei"/>
        <family val="2"/>
      </rPr>
      <t>請將以下欄位</t>
    </r>
    <r>
      <rPr>
        <sz val="10"/>
        <color theme="1"/>
        <rFont val="細明體"/>
        <family val="2"/>
        <charset val="136"/>
      </rPr>
      <t>直接貼入</t>
    </r>
    <r>
      <rPr>
        <sz val="10"/>
        <color theme="1"/>
        <rFont val="Calibri"/>
        <family val="2"/>
      </rPr>
      <t>python</t>
    </r>
    <r>
      <rPr>
        <sz val="10"/>
        <color theme="1"/>
        <rFont val="細明體"/>
        <family val="2"/>
        <charset val="136"/>
      </rPr>
      <t>程式</t>
    </r>
    <r>
      <rPr>
        <sz val="10"/>
        <color theme="1"/>
        <rFont val="Microsoft JhengHei"/>
        <family val="2"/>
      </rPr>
      <t>當中作為</t>
    </r>
    <r>
      <rPr>
        <sz val="10"/>
        <color theme="1"/>
        <rFont val="Calibri"/>
        <family val="2"/>
      </rPr>
      <t>list of dict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</si>
</sst>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9"/>
      <name val="Calibri"/>
      <family val="2"/>
    </font>
    <font>
      <sz val="9"/>
      <name val="Verdana"/>
      <family val="2"/>
    </font>
    <font>
      <sz val="9"/>
      <name val="新細明體"/>
      <family val="2"/>
      <charset val="136"/>
      <scheme val="minor"/>
    </font>
    <font>
      <b/>
      <sz val="9"/>
      <name val="Calibri"/>
      <family val="2"/>
    </font>
    <font>
      <sz val="10"/>
      <color theme="1"/>
      <name val="Arial"/>
      <family val="2"/>
    </font>
    <font>
      <sz val="9"/>
      <name val="Microsoft JhengHei"/>
      <family val="2"/>
    </font>
    <font>
      <sz val="10"/>
      <color theme="1"/>
      <name val="Microsoft JhengHei"/>
      <family val="2"/>
    </font>
    <font>
      <b/>
      <sz val="9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sz val="10"/>
      <color theme="1"/>
      <name val="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/>
    <xf numFmtId="0" fontId="5" fillId="0" borderId="0" xfId="0" applyNumberFormat="1" applyFont="1" applyAlignment="1"/>
    <xf numFmtId="14" fontId="0" fillId="0" borderId="0" xfId="0" applyNumberFormat="1">
      <alignment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 applyAlignment="1">
      <alignment wrapText="1"/>
    </xf>
    <xf numFmtId="0" fontId="10" fillId="0" borderId="0" xfId="0" applyFont="1">
      <alignment vertical="center"/>
    </xf>
    <xf numFmtId="0" fontId="9" fillId="3" borderId="0" xfId="0" applyFont="1" applyFill="1">
      <alignment vertical="center"/>
    </xf>
  </cellXfs>
  <cellStyles count="1">
    <cellStyle name="一般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9" formatCode="yyyy/m/d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9" formatCode="yyyy/m/d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" refreshedDate="45961.995626967589" createdVersion="8" refreshedVersion="8" minRefreshableVersion="3" recordCount="619" xr:uid="{04949C3B-C14F-46D5-9821-2F0BC2C3C71B}">
  <cacheSource type="worksheet">
    <worksheetSource name="表格2"/>
  </cacheSource>
  <cacheFields count="11">
    <cacheField name="站名" numFmtId="0">
      <sharedItems/>
    </cacheField>
    <cacheField name="站碼" numFmtId="0">
      <sharedItems/>
    </cacheField>
    <cacheField name="WGS84十分位緯度座標" numFmtId="0">
      <sharedItems containsSemiMixedTypes="0" containsString="0" containsNumber="1" minValue="21.9008" maxValue="26.358799999999999"/>
    </cacheField>
    <cacheField name="WGS84十分位經度座標" numFmtId="0">
      <sharedItems containsSemiMixedTypes="0" containsString="0" containsNumber="1" minValue="118.2402" maxValue="122.0021"/>
    </cacheField>
    <cacheField name="高度" numFmtId="0">
      <sharedItems/>
    </cacheField>
    <cacheField name="城市" numFmtId="0">
      <sharedItems count="22">
        <s v="新北市"/>
        <s v="臺北市"/>
        <s v="基隆市"/>
        <s v="桃園市"/>
        <s v="新竹縣"/>
        <s v="新竹市"/>
        <s v="苗栗縣"/>
        <s v="臺中市"/>
        <s v="彰化縣"/>
        <s v="南投縣"/>
        <s v="雲林縣"/>
        <s v="嘉義縣"/>
        <s v="嘉義市"/>
        <s v="臺南市"/>
        <s v="屏東縣"/>
        <s v="臺東縣"/>
        <s v="花蓮縣"/>
        <s v="宜蘭縣"/>
        <s v="高雄市"/>
        <s v="連江縣"/>
        <s v="澎湖縣"/>
        <s v="金門縣"/>
      </sharedItems>
    </cacheField>
    <cacheField name="位置" numFmtId="0">
      <sharedItems/>
    </cacheField>
    <cacheField name="備註" numFmtId="0">
      <sharedItems containsBlank="1"/>
    </cacheField>
    <cacheField name="設站日期" numFmtId="14">
      <sharedItems containsSemiMixedTypes="0" containsNonDate="0" containsDate="1" containsString="0" minDate="1987-05-01T00:00:00" maxDate="2025-06-21T00:00:00"/>
    </cacheField>
    <cacheField name="輔助欄位" numFmtId="14">
      <sharedItems/>
    </cacheField>
    <cacheField name="Gemini建議" numFmtId="0">
      <sharedItems count="3">
        <s v=""/>
        <s v="高海拔測站 (全)"/>
        <s v="低海拔代表站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s v="山佳"/>
    <s v="C0A520"/>
    <n v="24.974900000000002"/>
    <n v="121.402"/>
    <s v="48m"/>
    <x v="0"/>
    <s v="樹林區中山路3段5號(山佳國民小學校園內)"/>
    <m/>
    <d v="1987-05-01T00:00:00"/>
    <s v="山佳新北市"/>
    <x v="0"/>
  </r>
  <r>
    <s v="坪林"/>
    <s v="C0A530"/>
    <n v="24.938199999999998"/>
    <n v="121.7097"/>
    <s v="300m"/>
    <x v="0"/>
    <s v="坪林區"/>
    <m/>
    <d v="1987-05-01T00:00:00"/>
    <s v="坪林新北市"/>
    <x v="0"/>
  </r>
  <r>
    <s v="泰平"/>
    <s v="C0A550"/>
    <n v="24.9712"/>
    <n v="121.8237"/>
    <s v="422m"/>
    <x v="0"/>
    <s v="雙溪區泰平里8鄰大平路43號(泰平國小分校附近)"/>
    <m/>
    <d v="1987-05-01T00:00:00"/>
    <s v="泰平新北市"/>
    <x v="0"/>
  </r>
  <r>
    <s v="桶後"/>
    <s v="C0A570"/>
    <n v="24.848199999999999"/>
    <n v="121.598"/>
    <s v="360m"/>
    <x v="0"/>
    <s v="烏來區后桶街49號孝義里5-6k處路旁"/>
    <m/>
    <d v="1987-05-01T00:00:00"/>
    <s v="桶後新北市"/>
    <x v="0"/>
  </r>
  <r>
    <s v="石碇"/>
    <s v="C0A640"/>
    <n v="24.994"/>
    <n v="121.66289999999999"/>
    <s v="241m"/>
    <x v="0"/>
    <s v="石碇區湳窟34號附近"/>
    <s v="原(C1A640)站因擴充為氣象站，於2009/12/1升級為(C0A640)站。"/>
    <d v="2009-12-01T00:00:00"/>
    <s v="石碇新北市"/>
    <x v="0"/>
  </r>
  <r>
    <s v="科教館"/>
    <s v="C0A770"/>
    <n v="25.096399999999999"/>
    <n v="121.51649999999999"/>
    <s v="60m"/>
    <x v="1"/>
    <s v="士林區士商路189號（士林科教館樓頂）"/>
    <m/>
    <d v="2021-12-13T00:00:00"/>
    <s v="科教館臺北市"/>
    <x v="0"/>
  </r>
  <r>
    <s v="大坪"/>
    <s v="C0A860"/>
    <n v="25.165900000000001"/>
    <n v="121.633"/>
    <s v="362m"/>
    <x v="0"/>
    <s v="萬里區溪底里香員林6-3號"/>
    <m/>
    <d v="1993-06-04T00:00:00"/>
    <s v="大坪新北市"/>
    <x v="0"/>
  </r>
  <r>
    <s v="五指山"/>
    <s v="C0A870"/>
    <n v="25.132200000000001"/>
    <n v="121.6087"/>
    <s v="685m"/>
    <x v="0"/>
    <s v="汐止區國軍示範公墓旁之復興廣播電台門口外"/>
    <m/>
    <d v="1993-08-20T00:00:00"/>
    <s v="五指山新北市"/>
    <x v="1"/>
  </r>
  <r>
    <s v="雙溪"/>
    <s v="C0A890"/>
    <n v="25.036000000000001"/>
    <n v="121.8642"/>
    <s v="40m"/>
    <x v="0"/>
    <s v="雙溪區雙溪里社區活動中心旁花圃內"/>
    <m/>
    <d v="1993-06-30T00:00:00"/>
    <s v="雙溪新北市"/>
    <x v="0"/>
  </r>
  <r>
    <s v="三和"/>
    <s v="C0A931"/>
    <n v="25.2332"/>
    <n v="121.59520000000001"/>
    <s v="216m"/>
    <x v="0"/>
    <s v="金山區三和國小兩湖分校"/>
    <s v="原(C0A930)站因移位，於2014/4/1更變為(C0A931)站。"/>
    <d v="2014-04-01T00:00:00"/>
    <s v="三和新北市"/>
    <x v="0"/>
  </r>
  <r>
    <s v="金山"/>
    <s v="C0A940"/>
    <n v="25.223600000000001"/>
    <n v="121.64400000000001"/>
    <s v="49m"/>
    <x v="0"/>
    <s v="金山區中興段404地號(磺港社區活動中心內)"/>
    <m/>
    <d v="1994-08-29T00:00:00"/>
    <s v="金山新北市"/>
    <x v="0"/>
  </r>
  <r>
    <s v="鼻頭角"/>
    <s v="C0A950"/>
    <n v="25.129000000000001"/>
    <n v="121.9234"/>
    <s v="60m"/>
    <x v="0"/>
    <s v="瑞芳區鼻頭角燈塔旁"/>
    <m/>
    <d v="1994-08-29T00:00:00"/>
    <s v="鼻頭角新北市"/>
    <x v="0"/>
  </r>
  <r>
    <s v="三貂角"/>
    <s v="C0A970"/>
    <n v="25.0076"/>
    <n v="122.0021"/>
    <s v="96m"/>
    <x v="0"/>
    <s v="貢寮區三貂角燈塔旁"/>
    <s v="本站於2017/10/23進行儀器汰換，於2017/12/1完成驗收。"/>
    <d v="1995-06-08T00:00:00"/>
    <s v="三貂角新北市"/>
    <x v="0"/>
  </r>
  <r>
    <s v="社子"/>
    <s v="C0A980"/>
    <n v="25.109500000000001"/>
    <n v="121.4697"/>
    <s v="11m"/>
    <x v="1"/>
    <s v="士林區延平北路九段212號(臺北海洋科技大學內)"/>
    <m/>
    <d v="1997-09-01T00:00:00"/>
    <s v="社子臺北市"/>
    <x v="2"/>
  </r>
  <r>
    <s v="天母"/>
    <s v="C0A9C0"/>
    <n v="25.1175"/>
    <n v="121.5372"/>
    <s v="35m"/>
    <x v="1"/>
    <s v="士林區天母東路116號(三玉國小內)"/>
    <m/>
    <d v="1997-08-16T00:00:00"/>
    <s v="天母臺北市"/>
    <x v="0"/>
  </r>
  <r>
    <s v="內湖"/>
    <s v="C0A9F0"/>
    <n v="25.0794"/>
    <n v="121.57550000000001"/>
    <s v="35m"/>
    <x v="1"/>
    <s v="內湖區內湖路一段520號(內湖高工內)"/>
    <m/>
    <d v="1997-08-21T00:00:00"/>
    <s v="內湖臺北市"/>
    <x v="0"/>
  </r>
  <r>
    <s v="大屯山"/>
    <s v="C0AC40"/>
    <n v="25.175699999999999"/>
    <n v="121.5224"/>
    <s v="1079m"/>
    <x v="1"/>
    <s v="北投區湖田段461-6地號(民航局大屯山助航臺)"/>
    <m/>
    <d v="2005-11-25T00:00:00"/>
    <s v="大屯山臺北市"/>
    <x v="1"/>
  </r>
  <r>
    <s v="三峽"/>
    <s v="C0AC60"/>
    <n v="24.939"/>
    <n v="121.36969999999999"/>
    <s v="55m"/>
    <x v="0"/>
    <s v="三峽區復興路238號(三峽國中校園內)"/>
    <m/>
    <d v="2009-04-09T00:00:00"/>
    <s v="三峽新北市"/>
    <x v="2"/>
  </r>
  <r>
    <s v="信義"/>
    <s v="C0AC70"/>
    <n v="25.037800000000001"/>
    <n v="121.5646"/>
    <s v="71m"/>
    <x v="1"/>
    <s v="信義區市府路1號(台北市政府頂樓)"/>
    <m/>
    <d v="2009-03-31T00:00:00"/>
    <s v="信義臺北市"/>
    <x v="0"/>
  </r>
  <r>
    <s v="文山"/>
    <s v="C0AC80"/>
    <n v="25.002300000000002"/>
    <n v="121.5757"/>
    <s v="40m"/>
    <x v="1"/>
    <s v="文山區木柵路4段159巷14-1號(博嘉國小校園內)"/>
    <s v="原(C1AC80)站因擴充為氣象站，於2009/12/1升級為(C0AC80)站。"/>
    <d v="2009-12-01T00:00:00"/>
    <s v="文山臺北市"/>
    <x v="0"/>
  </r>
  <r>
    <s v="新莊"/>
    <s v="C0ACA0"/>
    <n v="25.051500000000001"/>
    <n v="121.4468"/>
    <s v="25m"/>
    <x v="0"/>
    <s v="新莊區中和街193號(榮富國小校園內)"/>
    <s v="原(C1ACA0)站因擴充為氣象站，於2009/12/1升級為(C0ACA0)站，站址搬遷至同校行政大樓西側。"/>
    <d v="2009-12-01T00:00:00"/>
    <s v="新莊新北市"/>
    <x v="0"/>
  </r>
  <r>
    <s v="八里"/>
    <s v="C0AD10"/>
    <n v="25.150200000000002"/>
    <n v="121.40389999999999"/>
    <s v="27m"/>
    <x v="0"/>
    <s v="八里區中山路二段338號(八里國小內)"/>
    <m/>
    <d v="2009-08-19T00:00:00"/>
    <s v="八里新北市"/>
    <x v="0"/>
  </r>
  <r>
    <s v="蘆洲"/>
    <s v="C0AD30"/>
    <n v="25.086600000000001"/>
    <n v="121.4723"/>
    <s v="20m"/>
    <x v="0"/>
    <s v="蘆洲區三民路96號(三民高中內)"/>
    <m/>
    <d v="2009-09-01T00:00:00"/>
    <s v="蘆洲新北市"/>
    <x v="0"/>
  </r>
  <r>
    <s v="土城"/>
    <s v="C0AD40"/>
    <n v="24.973199999999999"/>
    <n v="121.4452"/>
    <s v="32m"/>
    <x v="0"/>
    <s v="土城區金城路一段90號(新北市政府消防局土城分隊大樓樓頂)"/>
    <m/>
    <d v="2009-09-05T00:00:00"/>
    <s v="土城新北市"/>
    <x v="0"/>
  </r>
  <r>
    <s v="鶯歌"/>
    <s v="C0AD50"/>
    <n v="24.951499999999999"/>
    <n v="121.3463"/>
    <s v="84m"/>
    <x v="0"/>
    <s v="鶯歌區尖山埔路106號(鶯歌國小內)"/>
    <m/>
    <d v="2009-09-03T00:00:00"/>
    <s v="鶯歌新北市"/>
    <x v="0"/>
  </r>
  <r>
    <s v="中和"/>
    <s v="C0AG80"/>
    <n v="24.991599999999998"/>
    <n v="121.4918"/>
    <s v="48m"/>
    <x v="0"/>
    <s v="中和區錦和路163號(錦和高中內)"/>
    <m/>
    <d v="2021-10-18T00:00:00"/>
    <s v="中和新北市"/>
    <x v="0"/>
  </r>
  <r>
    <s v="汐止"/>
    <s v="C0AH00"/>
    <n v="25.0669"/>
    <n v="121.6588"/>
    <s v="38m"/>
    <x v="0"/>
    <s v="汐止區大同路二段394號(汐止國中)"/>
    <m/>
    <d v="2011-08-08T00:00:00"/>
    <s v="汐止新北市"/>
    <x v="0"/>
  </r>
  <r>
    <s v="永和"/>
    <s v="C0AH10"/>
    <n v="25.011299999999999"/>
    <n v="121.5081"/>
    <s v="30m"/>
    <x v="0"/>
    <s v="永和區永平路205號(永平高中校園內)"/>
    <m/>
    <d v="2013-12-24T00:00:00"/>
    <s v="永和新北市"/>
    <x v="0"/>
  </r>
  <r>
    <s v="五分山"/>
    <s v="C0AH30"/>
    <n v="25.071200000000001"/>
    <n v="121.7808"/>
    <s v="755m"/>
    <x v="0"/>
    <s v="瑞芳區靜安路四段1巷1號"/>
    <m/>
    <d v="2015-10-08T00:00:00"/>
    <s v="五分山新北市"/>
    <x v="1"/>
  </r>
  <r>
    <s v="平等"/>
    <s v="C0AH40"/>
    <n v="25.129100000000001"/>
    <n v="121.5771"/>
    <s v="426m"/>
    <x v="1"/>
    <s v="士林區平菁街101號(平等國小)"/>
    <m/>
    <d v="2016-06-19T00:00:00"/>
    <s v="平等臺北市"/>
    <x v="0"/>
  </r>
  <r>
    <s v="林口"/>
    <s v="C0AH50"/>
    <n v="25.072199999999999"/>
    <n v="121.38079999999999"/>
    <s v="275m"/>
    <x v="0"/>
    <s v="林口區仁愛路二段173號(林口高中內)"/>
    <m/>
    <d v="2017-01-04T00:00:00"/>
    <s v="林口新北市"/>
    <x v="0"/>
  </r>
  <r>
    <s v="松山"/>
    <s v="C0AH70"/>
    <n v="25.0487"/>
    <n v="121.5504"/>
    <s v="34m"/>
    <x v="1"/>
    <s v="松山區敦化北路1號(臺北市松山運動中心)"/>
    <s v="因雨量筒較晚驗收完成，2017/04/26至2017/08/17不提供雨量資料。"/>
    <d v="2017-04-26T00:00:00"/>
    <s v="松山臺北市"/>
    <x v="0"/>
  </r>
  <r>
    <s v="深坑"/>
    <s v="C0AH80"/>
    <n v="25.002700000000001"/>
    <n v="121.6283"/>
    <s v="68m"/>
    <x v="0"/>
    <s v="深坑區文山路1段35號(深坑消防分隊樓頂)"/>
    <m/>
    <d v="2017-08-02T00:00:00"/>
    <s v="深坑新北市"/>
    <x v="0"/>
  </r>
  <r>
    <s v="福山植物園"/>
    <s v="C0AH90"/>
    <n v="24.7607"/>
    <n v="121.5814"/>
    <s v="660m"/>
    <x v="0"/>
    <s v="烏來區福山植物園內(生活植物區之民俗植物區觀測坪)"/>
    <m/>
    <d v="2018-03-23T00:00:00"/>
    <s v="福山植物園新北市"/>
    <x v="1"/>
  </r>
  <r>
    <s v="五股"/>
    <s v="C0AI00"/>
    <n v="25.074400000000001"/>
    <n v="121.4273"/>
    <s v="188m"/>
    <x v="0"/>
    <s v="五股區外寮路12號"/>
    <m/>
    <d v="2018-07-10T00:00:00"/>
    <s v="五股新北市"/>
    <x v="0"/>
  </r>
  <r>
    <s v="屈尺"/>
    <s v="C0AI10"/>
    <n v="24.921800000000001"/>
    <n v="121.54470000000001"/>
    <s v="76m"/>
    <x v="0"/>
    <s v="新店區屈尺路83號(衛福部北區老人之家)"/>
    <m/>
    <d v="2018-11-20T00:00:00"/>
    <s v="屈尺新北市"/>
    <x v="0"/>
  </r>
  <r>
    <s v="白沙灣"/>
    <s v="C0AI20"/>
    <n v="25.283100000000001"/>
    <n v="121.51909999999999"/>
    <s v="25m"/>
    <x v="0"/>
    <s v="石門區德茂里下員坑33-6號（白沙灣遊客中心樓頂）"/>
    <m/>
    <d v="2018-11-28T00:00:00"/>
    <s v="白沙灣新北市"/>
    <x v="0"/>
  </r>
  <r>
    <s v="三重"/>
    <s v="C0AI30"/>
    <n v="25.057300000000001"/>
    <n v="121.50060000000001"/>
    <s v="26m"/>
    <x v="0"/>
    <s v="三重區環河南路100號"/>
    <s v="原(C0A9I1)站因移位，於2019/8/2變更為(C0AI30)站。"/>
    <d v="2019-08-02T00:00:00"/>
    <s v="三重新北市"/>
    <x v="0"/>
  </r>
  <r>
    <s v="石牌"/>
    <s v="C0AI40"/>
    <n v="25.115600000000001"/>
    <n v="121.51309999999999"/>
    <s v="35m"/>
    <x v="1"/>
    <s v="北投區石牌路一段139號(石牌國中自強樓頂樓)"/>
    <s v="原(C0A9B0)站因移位，於2019/9/10變更為(C0AI40)站。"/>
    <d v="2019-09-10T00:00:00"/>
    <s v="石牌臺北市"/>
    <x v="0"/>
  </r>
  <r>
    <s v="野柳"/>
    <s v="C0AJ20"/>
    <n v="25.207000000000001"/>
    <n v="121.69"/>
    <s v="50m"/>
    <x v="0"/>
    <s v="萬里區野柳村151-1號(野柳守望哨雷達塔)"/>
    <m/>
    <d v="2022-03-09T00:00:00"/>
    <s v="野柳新北市"/>
    <x v="0"/>
  </r>
  <r>
    <s v="淡水觀海"/>
    <s v="C0AJ30"/>
    <n v="25.1846"/>
    <n v="121.40860000000001"/>
    <s v="22m"/>
    <x v="0"/>
    <s v="淡水區觀海路251號(淡水第2海巡隊樓頂)"/>
    <m/>
    <d v="2022-03-09T00:00:00"/>
    <s v="淡水觀海新北市"/>
    <x v="0"/>
  </r>
  <r>
    <s v="石門"/>
    <s v="C0AJ40"/>
    <n v="25.273700000000002"/>
    <n v="121.60120000000001"/>
    <s v="154m"/>
    <x v="0"/>
    <s v="石門區草里里草埔尾5號(黃金海岸高爾夫球場)"/>
    <m/>
    <d v="2022-03-09T00:00:00"/>
    <s v="石門新北市"/>
    <x v="0"/>
  </r>
  <r>
    <s v="水湳洞"/>
    <s v="C0AJ50"/>
    <n v="25.123699999999999"/>
    <n v="121.8622"/>
    <s v="30m"/>
    <x v="0"/>
    <s v="瑞芳區水湳洞段00197-000建號(水湳洞犬區隊)"/>
    <m/>
    <d v="2022-03-09T00:00:00"/>
    <s v="水湳洞新北市"/>
    <x v="0"/>
  </r>
  <r>
    <s v="六塊厝"/>
    <s v="C0AJ60"/>
    <n v="25.24"/>
    <n v="121.4481"/>
    <s v="13m"/>
    <x v="0"/>
    <s v="淡水區"/>
    <m/>
    <d v="2022-12-26T00:00:00"/>
    <s v="六塊厝新北市"/>
    <x v="0"/>
  </r>
  <r>
    <s v="田寮"/>
    <s v="C0AJ70"/>
    <n v="25.2698"/>
    <n v="121.48860000000001"/>
    <s v="21m"/>
    <x v="0"/>
    <s v="三芝區古庄里83之1號"/>
    <m/>
    <d v="2022-12-26T00:00:00"/>
    <s v="田寮新北市"/>
    <x v="0"/>
  </r>
  <r>
    <s v="板橋"/>
    <s v="C0AJ80"/>
    <n v="25.0107"/>
    <n v="121.44889999999999"/>
    <s v="38m"/>
    <x v="0"/>
    <s v="板橋區僑中一街1號"/>
    <s v="配合板橋有人站遷移，2023/01/03上午11時開始自動觀測。"/>
    <d v="2023-01-03T00:00:00"/>
    <s v="板橋新北市"/>
    <x v="0"/>
  </r>
  <r>
    <s v="澳底"/>
    <s v="C0AJ90"/>
    <n v="25.055199999999999"/>
    <n v="121.92529999999999"/>
    <s v="23m"/>
    <x v="0"/>
    <s v="貢寮區真理里延平街10號(澳底國小)"/>
    <s v="原(C0AJ10)站因移位，於2023/06/16變更為(C0AJ90)站。"/>
    <d v="2023-06-16T00:00:00"/>
    <s v="澳底新北市"/>
    <x v="0"/>
  </r>
  <r>
    <s v="太平里"/>
    <s v="C0AK10"/>
    <n v="25.134899999999998"/>
    <n v="121.36490000000001"/>
    <s v="18m"/>
    <x v="0"/>
    <s v="林口區太平里汕頭32號"/>
    <m/>
    <d v="2025-02-05T00:00:00"/>
    <s v="太平里新北市"/>
    <x v="0"/>
  </r>
  <r>
    <s v="硬漢嶺"/>
    <s v="C0AK30"/>
    <n v="25.136099999999999"/>
    <n v="121.4264"/>
    <s v="607m"/>
    <x v="0"/>
    <s v="觀音山硬漢嶺前奉茶基地上方平台"/>
    <s v="原(CAAH70)合作站於2025/04/07升級為(C0AK30)自動氣象站。"/>
    <d v="2025-04-07T00:00:00"/>
    <s v="硬漢嶺新北市"/>
    <x v="1"/>
  </r>
  <r>
    <s v="七堵"/>
    <s v="C0B010"/>
    <n v="25.094799999999999"/>
    <n v="121.7171"/>
    <s v="38m"/>
    <x v="2"/>
    <s v="七堵區東新街22號(基隆商工樓頂)"/>
    <m/>
    <d v="2018-06-23T00:00:00"/>
    <s v="七堵基隆市"/>
    <x v="2"/>
  </r>
  <r>
    <s v="基隆嶼"/>
    <s v="C0B020"/>
    <n v="25.191400000000002"/>
    <n v="121.7839"/>
    <s v="86m"/>
    <x v="2"/>
    <s v="中正區基隆嶼"/>
    <m/>
    <d v="2018-10-26T00:00:00"/>
    <s v="基隆嶼基隆市"/>
    <x v="0"/>
  </r>
  <r>
    <s v="大武崙"/>
    <s v="C0B040"/>
    <n v="25.166699999999999"/>
    <n v="121.70699999999999"/>
    <s v="15m"/>
    <x v="2"/>
    <s v="安樂區武聖街144弄50號(大武崙安檢所樓頂)"/>
    <m/>
    <d v="2022-03-09T00:00:00"/>
    <s v="大武崙基隆市"/>
    <x v="0"/>
  </r>
  <r>
    <s v="八斗子"/>
    <s v="C0B050"/>
    <n v="25.1448"/>
    <n v="121.79170000000001"/>
    <s v="5m"/>
    <x v="2"/>
    <s v="中正區漁港1街9號(八斗子安檢所樓頂)"/>
    <m/>
    <d v="2022-03-09T00:00:00"/>
    <s v="八斗子基隆市"/>
    <x v="0"/>
  </r>
  <r>
    <s v="暖暖"/>
    <s v="C0B060"/>
    <n v="25.095700000000001"/>
    <n v="121.7403"/>
    <s v="83m"/>
    <x v="2"/>
    <s v="暖暖區東碇路15號（暖暖運動公園內）"/>
    <m/>
    <d v="2023-01-14T00:00:00"/>
    <s v="暖暖基隆市"/>
    <x v="0"/>
  </r>
  <r>
    <s v="復興"/>
    <s v="C0C460"/>
    <n v="24.8202"/>
    <n v="121.3523"/>
    <s v="482m"/>
    <x v="3"/>
    <s v="復興區澤仁里中正路248號(介壽國民中學校園內)"/>
    <s v="原(C1C460)站因擴充為氣象站，於2007/10/1升級為(C0C460)站。"/>
    <d v="2007-10-01T00:00:00"/>
    <s v="復興桃園市"/>
    <x v="0"/>
  </r>
  <r>
    <s v="桃園"/>
    <s v="C0C480"/>
    <n v="24.9924"/>
    <n v="121.3232"/>
    <s v="105m"/>
    <x v="3"/>
    <s v="桃園區成功路二段144號(桃園高級農工職業學校校園內)"/>
    <s v="原(C1C480)站因擴充為氣象站，於2008/1/1升級為(C0C480)站。"/>
    <d v="2008-01-01T00:00:00"/>
    <s v="桃園桃園市"/>
    <x v="0"/>
  </r>
  <r>
    <s v="八德"/>
    <s v="C0C490"/>
    <n v="24.928699999999999"/>
    <n v="121.2833"/>
    <s v="157m"/>
    <x v="3"/>
    <s v="八德區興仁里中山路94號(八德國民小學校園內)"/>
    <s v="原(C1C490)站因擴充為氣象站，於2011/12/1升級為(C0C490)站。"/>
    <d v="2011-12-01T00:00:00"/>
    <s v="八德桃園市"/>
    <x v="0"/>
  </r>
  <r>
    <s v="觀音"/>
    <s v="C0C590"/>
    <n v="25.027100000000001"/>
    <n v="121.1533"/>
    <s v="72m"/>
    <x v="3"/>
    <s v="觀音區廣福里10-42號(逸福農場)"/>
    <m/>
    <d v="2007-06-21T00:00:00"/>
    <s v="觀音桃園市"/>
    <x v="0"/>
  </r>
  <r>
    <s v="蘆竹"/>
    <s v="C0C620"/>
    <n v="25.084299999999999"/>
    <n v="121.2658"/>
    <s v="19m"/>
    <x v="3"/>
    <s v="蘆竹區坑口里14鄰旁"/>
    <s v="原(C1C620)站因擴充為氣象站，於2011/12/1升級為(C0C620)站。"/>
    <d v="2011-12-01T00:00:00"/>
    <s v="蘆竹桃園市"/>
    <x v="0"/>
  </r>
  <r>
    <s v="大溪"/>
    <s v="C0C630"/>
    <n v="24.882899999999999"/>
    <n v="121.2655"/>
    <s v="209m"/>
    <x v="3"/>
    <s v="大溪區員林路2段450號(員樹林國小校園內)"/>
    <m/>
    <d v="2007-10-11T00:00:00"/>
    <s v="大溪桃園市"/>
    <x v="2"/>
  </r>
  <r>
    <s v="平鎮"/>
    <s v="C0C650"/>
    <n v="24.897500000000001"/>
    <n v="121.2146"/>
    <s v="208m"/>
    <x v="3"/>
    <s v="平鎮區中豐路山頂段375巷45號(山豐國民小學校園內)"/>
    <m/>
    <d v="2007-10-11T00:00:00"/>
    <s v="平鎮桃園市"/>
    <x v="0"/>
  </r>
  <r>
    <s v="楊梅"/>
    <s v="C0C660"/>
    <n v="24.912400000000002"/>
    <n v="121.143"/>
    <s v="176m"/>
    <x v="3"/>
    <s v="楊梅區金華街100號(楊心國小)"/>
    <m/>
    <d v="2013-06-30T00:00:00"/>
    <s v="楊梅桃園市"/>
    <x v="0"/>
  </r>
  <r>
    <s v="龍潭"/>
    <s v="C0C670"/>
    <n v="24.870100000000001"/>
    <n v="121.2214"/>
    <s v="250m"/>
    <x v="3"/>
    <s v="龍潭區中興路726號（龍潭消防分隊）"/>
    <m/>
    <d v="2014-03-17T00:00:00"/>
    <s v="龍潭桃園市"/>
    <x v="0"/>
  </r>
  <r>
    <s v="龜山"/>
    <s v="C0C680"/>
    <n v="25.028500000000001"/>
    <n v="121.3866"/>
    <s v="228m"/>
    <x v="3"/>
    <s v="龜山區文化一路250號(國立體育大學田徑場)"/>
    <m/>
    <d v="2017-03-28T00:00:00"/>
    <s v="龜山桃園市"/>
    <x v="0"/>
  </r>
  <r>
    <s v="中壢"/>
    <s v="C0C700"/>
    <n v="24.977699999999999"/>
    <n v="121.2564"/>
    <s v="151m"/>
    <x v="3"/>
    <s v="中壢區成章四街120號(內壢高中樓頂)"/>
    <m/>
    <d v="2017-12-27T00:00:00"/>
    <s v="中壢桃園市"/>
    <x v="0"/>
  </r>
  <r>
    <s v="大溪永福"/>
    <s v="C0C710"/>
    <n v="24.892900000000001"/>
    <n v="121.325"/>
    <s v="143m"/>
    <x v="3"/>
    <s v="大溪區信義路1165號（永福國小）"/>
    <m/>
    <d v="2018-12-26T00:00:00"/>
    <s v="大溪永福桃園市"/>
    <x v="0"/>
  </r>
  <r>
    <s v="竹圍"/>
    <s v="C0C720"/>
    <n v="25.1127"/>
    <n v="121.2398"/>
    <s v="21m"/>
    <x v="3"/>
    <s v="大園區沙崙段沙崙小號00719-000建號(竹圍第一機動巡邏隊樓頂)"/>
    <m/>
    <d v="2022-03-09T00:00:00"/>
    <s v="竹圍桃園市"/>
    <x v="0"/>
  </r>
  <r>
    <s v="中大臨海站"/>
    <s v="C0C730"/>
    <n v="24.966100000000001"/>
    <n v="121.0086"/>
    <s v="5m"/>
    <x v="3"/>
    <s v="新屋區蚵殼港段深圳小段52-41號土地(中央大學臨海工作站)"/>
    <m/>
    <d v="2022-03-09T00:00:00"/>
    <s v="中大臨海站桃園市"/>
    <x v="0"/>
  </r>
  <r>
    <s v="觀音工業區"/>
    <s v="C0C740"/>
    <n v="25.064800000000002"/>
    <n v="121.11490000000001"/>
    <s v="5.3m"/>
    <x v="3"/>
    <s v="觀音區經建七路5號(觀音工業區汙水處理廠迴流汙泥站機房樓頂)"/>
    <m/>
    <d v="2022-03-09T00:00:00"/>
    <s v="觀音工業區桃園市"/>
    <x v="0"/>
  </r>
  <r>
    <s v="新興坑尾"/>
    <s v="C0C750"/>
    <n v="25.0061"/>
    <n v="121.0971"/>
    <s v="72m"/>
    <x v="3"/>
    <s v="觀音區文化路石橋段453號"/>
    <m/>
    <d v="2022-12-26T00:00:00"/>
    <s v="新興坑尾桃園市"/>
    <x v="0"/>
  </r>
  <r>
    <s v="東眼山"/>
    <s v="C0C790"/>
    <n v="24.828399999999998"/>
    <n v="121.4089"/>
    <s v="858m"/>
    <x v="3"/>
    <s v="復興區東眼山段93地號"/>
    <m/>
    <d v="2025-03-27T00:00:00"/>
    <s v="東眼山桃園市"/>
    <x v="1"/>
  </r>
  <r>
    <s v="四稜"/>
    <s v="C0C800"/>
    <n v="24.647300000000001"/>
    <n v="121.4293"/>
    <s v="1167m"/>
    <x v="3"/>
    <s v="復興區四稜段6地號"/>
    <m/>
    <d v="2025-03-27T00:00:00"/>
    <s v="四稜桃園市"/>
    <x v="1"/>
  </r>
  <r>
    <s v="梅花"/>
    <s v="C0D360"/>
    <n v="24.6783"/>
    <n v="121.2086"/>
    <s v="523m"/>
    <x v="4"/>
    <s v="尖石鄉梅花村1鄰11號(梅花國小校園內)"/>
    <m/>
    <d v="1987-06-01T00:00:00"/>
    <s v="梅花新竹縣"/>
    <x v="1"/>
  </r>
  <r>
    <s v="峨眉"/>
    <s v="C0D430"/>
    <n v="24.6905"/>
    <n v="121.0172"/>
    <s v="87m"/>
    <x v="4"/>
    <s v="峨眉鄉31541峨眉村峨眉街54號(峨眉國中校園內)"/>
    <s v="原(C1D430)站因擴充為氣象站，於2011/12/1升級為(C0D430)站。"/>
    <d v="2011-12-01T00:00:00"/>
    <s v="峨眉新竹縣"/>
    <x v="0"/>
  </r>
  <r>
    <s v="打鐵坑"/>
    <s v="C0D480"/>
    <n v="24.849699999999999"/>
    <n v="121.1508"/>
    <s v="223m"/>
    <x v="4"/>
    <s v="新埔鎮新北里8鄰大北坑28號旁"/>
    <s v="原(C1D480)站因擴充為氣象站，於2008/1/1升級為(C0D480)站。"/>
    <d v="2008-01-01T00:00:00"/>
    <s v="打鐵坑新竹縣"/>
    <x v="0"/>
  </r>
  <r>
    <s v="橫山"/>
    <s v="C0D540"/>
    <n v="24.711200000000002"/>
    <n v="121.1169"/>
    <s v="227m"/>
    <x v="4"/>
    <s v="橫山鄉橫山村橫山段426-6地號上"/>
    <m/>
    <d v="2007-03-08T00:00:00"/>
    <s v="橫山新竹縣"/>
    <x v="0"/>
  </r>
  <r>
    <s v="雪霸"/>
    <s v="C0D550"/>
    <n v="24.527000000000001"/>
    <n v="121.1161"/>
    <s v="1956m"/>
    <x v="4"/>
    <s v="五峰鄉桃山村民石380號(雪霸農場內)"/>
    <m/>
    <d v="2007-06-23T00:00:00"/>
    <s v="雪霸新竹縣"/>
    <x v="1"/>
  </r>
  <r>
    <s v="竹東"/>
    <s v="C0D560"/>
    <n v="24.767099999999999"/>
    <n v="121.0579"/>
    <s v="147m"/>
    <x v="4"/>
    <s v="竹東鎮二重國民小學校園內"/>
    <s v="原(C1D560)站因擴充為氣象站，於2008/1/1升級為(C0D560)站。"/>
    <d v="2008-01-01T00:00:00"/>
    <s v="竹東新竹縣"/>
    <x v="0"/>
  </r>
  <r>
    <s v="寶山"/>
    <s v="C0D580"/>
    <n v="24.734999999999999"/>
    <n v="121.0252"/>
    <s v="120m"/>
    <x v="4"/>
    <s v="寶山鄉新湖路280號旁"/>
    <m/>
    <d v="2007-10-14T00:00:00"/>
    <s v="寶山新竹縣"/>
    <x v="0"/>
  </r>
  <r>
    <s v="新豐"/>
    <s v="C0D590"/>
    <n v="24.870699999999999"/>
    <n v="120.9772"/>
    <s v="143m"/>
    <x v="4"/>
    <s v="新豐鄉松柏村康和路199號(小叮噹科學主題樂園)"/>
    <s v="原(C0C580)站因縣市代碼不符，於2008/2/25重新編碼為(C0D590)站。"/>
    <d v="2007-10-01T00:00:00"/>
    <s v="新豐新竹縣"/>
    <x v="0"/>
  </r>
  <r>
    <s v="湖口"/>
    <s v="C0D650"/>
    <n v="24.904800000000002"/>
    <n v="121.0436"/>
    <s v="97m"/>
    <x v="4"/>
    <s v="湖口鄉信勢村三鄰成功路109號(湖口消防分隊)"/>
    <m/>
    <d v="2013-09-10T00:00:00"/>
    <s v="湖口新竹縣"/>
    <x v="2"/>
  </r>
  <r>
    <s v="新竹市東區"/>
    <s v="C0D660"/>
    <n v="24.7987"/>
    <n v="120.98690000000001"/>
    <s v="65m"/>
    <x v="5"/>
    <s v="東區光復路二段321號（工研院光復院區6館）"/>
    <m/>
    <d v="2014-09-29T00:00:00"/>
    <s v="新竹市東區新竹市"/>
    <x v="2"/>
  </r>
  <r>
    <s v="海天一線"/>
    <s v="C0D670"/>
    <n v="24.832000000000001"/>
    <n v="120.9144"/>
    <s v="23m"/>
    <x v="5"/>
    <s v="北區(海天一線看海公園)"/>
    <m/>
    <d v="2022-03-09T00:00:00"/>
    <s v="海天一線新竹市"/>
    <x v="0"/>
  </r>
  <r>
    <s v="香山濕地"/>
    <s v="C0D680"/>
    <n v="24.7836"/>
    <n v="120.91500000000001"/>
    <s v="24m"/>
    <x v="5"/>
    <s v="香山區西濱路三段500巷17號"/>
    <m/>
    <d v="2022-03-09T00:00:00"/>
    <s v="香山濕地新竹市"/>
    <x v="0"/>
  </r>
  <r>
    <s v="外湖"/>
    <s v="C0D690"/>
    <n v="24.9177"/>
    <n v="120.9687"/>
    <s v="20m"/>
    <x v="4"/>
    <s v="新豐鄉新豐段00369-000建號(外湖守望哨樓頂)"/>
    <m/>
    <d v="2022-03-09T00:00:00"/>
    <s v="外湖新竹縣"/>
    <x v="0"/>
  </r>
  <r>
    <s v="關西"/>
    <s v="C0D700"/>
    <n v="24.797699999999999"/>
    <n v="121.17319999999999"/>
    <s v="155m"/>
    <x v="4"/>
    <s v="關西鎮北斗里北門口41號(關西國中校園內)"/>
    <s v="原(C0D390)站因移位，於2023/02/19變更為(C0D700)站。"/>
    <d v="2023-02-19T00:00:00"/>
    <s v="關西新竹縣"/>
    <x v="0"/>
  </r>
  <r>
    <s v="樂山林道6k"/>
    <s v="C0D750"/>
    <n v="24.5"/>
    <n v="121.0877"/>
    <s v="2292m"/>
    <x v="4"/>
    <s v="五峰鄉檜山段33地號"/>
    <m/>
    <d v="2025-03-27T00:00:00"/>
    <s v="樂山林道6k新竹縣"/>
    <x v="1"/>
  </r>
  <r>
    <s v="大坪苗圃"/>
    <s v="C0D760"/>
    <n v="24.536200000000001"/>
    <n v="121.1108"/>
    <s v="1371m"/>
    <x v="4"/>
    <s v="五峰鄉腦寮段3地號"/>
    <m/>
    <d v="2025-03-27T00:00:00"/>
    <s v="大坪苗圃新竹縣"/>
    <x v="1"/>
  </r>
  <r>
    <s v="竹南"/>
    <s v="C0E420"/>
    <n v="24.709"/>
    <n v="120.88890000000001"/>
    <s v="19m"/>
    <x v="6"/>
    <s v="竹南鎮大埔里仁愛路1092號(竹南鎮大埔國民小學內)"/>
    <m/>
    <d v="1987-06-01T00:00:00"/>
    <s v="竹南苗栗縣"/>
    <x v="0"/>
  </r>
  <r>
    <s v="南庄"/>
    <s v="C0E430"/>
    <n v="24.601800000000001"/>
    <n v="121.00020000000001"/>
    <s v="258m"/>
    <x v="6"/>
    <s v="南庄鄉東村文化路3號(南庄國小校園內)"/>
    <m/>
    <d v="1987-06-01T00:00:00"/>
    <s v="南庄苗栗縣"/>
    <x v="0"/>
  </r>
  <r>
    <s v="明德"/>
    <s v="C0E550"/>
    <n v="24.583500000000001"/>
    <n v="120.8854"/>
    <s v="84m"/>
    <x v="6"/>
    <s v="頭屋鄉明德水庫水利工作站屋頂上"/>
    <s v="原(C1E550)站因擴充為氣象站，於2011/11/1升級為(C0E550)站。"/>
    <d v="2011-11-01T00:00:00"/>
    <s v="明德苗栗縣"/>
    <x v="0"/>
  </r>
  <r>
    <s v="白沙屯"/>
    <s v="C0E570"/>
    <n v="24.549399999999999"/>
    <n v="120.6968"/>
    <s v="31m"/>
    <x v="6"/>
    <s v="通霄鎮新埔里19鄰新埔151-2號"/>
    <m/>
    <d v="2025-02-05T00:00:00"/>
    <s v="白沙屯苗栗縣"/>
    <x v="0"/>
  </r>
  <r>
    <s v="通霄"/>
    <s v="C0E590"/>
    <n v="24.471900000000002"/>
    <n v="120.7046"/>
    <s v="40m"/>
    <x v="6"/>
    <s v="通霄鎮城北里1鄰13號(通霄鎮城中國民小學內)"/>
    <s v="原(C1E590)站因擴充為氣象站，於2011/11/1升級為(C0E590)站，原為土城雨量站。於2024/01/08完成儀器汰換"/>
    <d v="2011-11-01T00:00:00"/>
    <s v="通霄苗栗縣"/>
    <x v="0"/>
  </r>
  <r>
    <s v="馬都安"/>
    <s v="C0E610"/>
    <n v="24.4513"/>
    <n v="120.9302"/>
    <s v="850m"/>
    <x v="6"/>
    <s v="泰安鄉錦水村(由泰安開車約2小時瞭望台旁)"/>
    <m/>
    <d v="1990-07-01T00:00:00"/>
    <s v="馬都安苗栗縣"/>
    <x v="1"/>
  </r>
  <r>
    <s v="頭份"/>
    <s v="C0E730"/>
    <n v="24.688199999999998"/>
    <n v="120.9122"/>
    <s v="26m"/>
    <x v="6"/>
    <s v="頭份市中正路219號(苗栗縣頭份鎮頭份國小校園內)"/>
    <m/>
    <d v="2007-10-11T00:00:00"/>
    <s v="頭份苗栗縣"/>
    <x v="0"/>
  </r>
  <r>
    <s v="造橋"/>
    <s v="C0E740"/>
    <n v="24.6371"/>
    <n v="120.8648"/>
    <s v="27m"/>
    <x v="6"/>
    <s v="造橋鄉造橋村14鄰3號(造橋國小)"/>
    <s v="於2024/01/08完成儀器汰換"/>
    <d v="2011-01-31T00:00:00"/>
    <s v="造橋苗栗縣"/>
    <x v="0"/>
  </r>
  <r>
    <s v="苗栗"/>
    <s v="C0E750"/>
    <n v="24.564599999999999"/>
    <n v="120.8246"/>
    <s v="62m"/>
    <x v="6"/>
    <s v="苗栗市中正路241號(建功國小)"/>
    <m/>
    <d v="2011-02-21T00:00:00"/>
    <s v="苗栗苗栗縣"/>
    <x v="2"/>
  </r>
  <r>
    <s v="銅鑼"/>
    <s v="C0E780"/>
    <n v="24.489699999999999"/>
    <n v="120.79089999999999"/>
    <s v="160m"/>
    <x v="6"/>
    <s v="銅鑼鄉福興村文化街1號(銅鑼國小)"/>
    <m/>
    <d v="2011-03-02T00:00:00"/>
    <s v="銅鑼苗栗縣"/>
    <x v="0"/>
  </r>
  <r>
    <s v="卓蘭"/>
    <s v="C0E791"/>
    <n v="24.3126"/>
    <n v="120.8244"/>
    <s v="366m"/>
    <x v="6"/>
    <s v="卓蘭鎮中山路125-1號(卓蘭鎮圖書館樓頂)"/>
    <s v="原(C0E790)站因移位，於2022/9/21變更為(C0E791)站。"/>
    <d v="2022-09-21T00:00:00"/>
    <s v="卓蘭苗栗縣"/>
    <x v="0"/>
  </r>
  <r>
    <s v="西湖"/>
    <s v="C0E810"/>
    <n v="24.562899999999999"/>
    <n v="120.74850000000001"/>
    <s v="53m"/>
    <x v="6"/>
    <s v="西湖鄉二湖村2鄰22號(僑文國小)"/>
    <s v="於2024/01/08完成儀器汰換"/>
    <d v="2011-04-24T00:00:00"/>
    <s v="西湖苗栗縣"/>
    <x v="0"/>
  </r>
  <r>
    <s v="獅潭"/>
    <s v="C0E820"/>
    <n v="24.539100000000001"/>
    <n v="120.92"/>
    <s v="220m"/>
    <x v="6"/>
    <s v="獅潭鄉新店村11鄰103-2號(獅潭鄉公所圖書館樓頂)"/>
    <m/>
    <d v="2011-09-22T00:00:00"/>
    <s v="獅潭苗栗縣"/>
    <x v="0"/>
  </r>
  <r>
    <s v="苑裡"/>
    <s v="C0E830"/>
    <n v="24.439699999999998"/>
    <n v="120.65309999999999"/>
    <s v="37m"/>
    <x v="6"/>
    <s v="苑裡鎮信義路1號(苑裡鎮公所)"/>
    <s v="於2024/01/08完成儀器汰換"/>
    <d v="2013-11-06T00:00:00"/>
    <s v="苑裡苗栗縣"/>
    <x v="0"/>
  </r>
  <r>
    <s v="大河"/>
    <s v="C0E850"/>
    <n v="24.618099999999998"/>
    <n v="120.9486"/>
    <s v="104m"/>
    <x v="6"/>
    <s v="三灣鄉大河村48號(大河派出所)"/>
    <m/>
    <d v="2015-07-23T00:00:00"/>
    <s v="大河苗栗縣"/>
    <x v="0"/>
  </r>
  <r>
    <s v="高鐵苗栗"/>
    <s v="C0E870"/>
    <n v="24.607299999999999"/>
    <n v="120.8261"/>
    <s v="34m"/>
    <x v="6"/>
    <s v="後龍鎮高鐵三路268號(高鐵苗栗站外)"/>
    <m/>
    <d v="2017-08-01T00:00:00"/>
    <s v="高鐵苗栗苗栗縣"/>
    <x v="0"/>
  </r>
  <r>
    <s v="海埔"/>
    <s v="C0E910"/>
    <n v="24.648800000000001"/>
    <n v="120.7724"/>
    <s v="25m"/>
    <x v="6"/>
    <s v="後龍鎮海埔125之15號(外埔安檢所樓頂)"/>
    <m/>
    <d v="2022-03-09T00:00:00"/>
    <s v="海埔苗栗縣"/>
    <x v="0"/>
  </r>
  <r>
    <s v="通霄漁港"/>
    <s v="C0E920"/>
    <n v="24.4986"/>
    <n v="120.6739"/>
    <s v="20m"/>
    <x v="6"/>
    <s v="通霄鎮漁港路69號(通霄安檢所樓頂)"/>
    <m/>
    <d v="2022-03-09T00:00:00"/>
    <s v="通霄漁港苗栗縣"/>
    <x v="0"/>
  </r>
  <r>
    <s v="龍鳳"/>
    <s v="C0E930"/>
    <n v="24.7"/>
    <n v="120.8591"/>
    <s v="26m"/>
    <x v="6"/>
    <s v="竹南鎮龍鳳里龍江街359巷5號(龍鳳安檢所樓頂)"/>
    <m/>
    <d v="2022-03-09T00:00:00"/>
    <s v="龍鳳苗栗縣"/>
    <x v="0"/>
  </r>
  <r>
    <s v="雪見"/>
    <s v="C0E940"/>
    <n v="24.425999999999998"/>
    <n v="121.01349999999999"/>
    <s v="1881m"/>
    <x v="6"/>
    <s v="泰安鄉盡尾段15-1地號"/>
    <m/>
    <d v="2025-03-27T00:00:00"/>
    <s v="雪見苗栗縣"/>
    <x v="1"/>
  </r>
  <r>
    <s v="松安"/>
    <s v="C0E950"/>
    <n v="24.3979"/>
    <n v="120.986"/>
    <s v="1328m"/>
    <x v="6"/>
    <s v="泰安鄉荻岡段39地號"/>
    <m/>
    <d v="2025-03-27T00:00:00"/>
    <s v="松安苗栗縣"/>
    <x v="1"/>
  </r>
  <r>
    <s v="觀霧分站"/>
    <s v="C0E960"/>
    <n v="24.505800000000001"/>
    <n v="121.1139"/>
    <s v="2094m"/>
    <x v="6"/>
    <s v="泰安鄉觀霧段55-1地號"/>
    <m/>
    <d v="2025-03-27T00:00:00"/>
    <s v="觀霧分站苗栗縣"/>
    <x v="1"/>
  </r>
  <r>
    <s v="雪山圈谷"/>
    <s v="C0F0A0"/>
    <n v="24.3886"/>
    <n v="121.2363"/>
    <s v="3587m"/>
    <x v="7"/>
    <s v="和平區(往雪山主峰路上9.8公里處右邊)"/>
    <m/>
    <d v="2016-05-18T00:00:00"/>
    <s v="雪山圈谷臺中市"/>
    <x v="1"/>
  </r>
  <r>
    <s v="石岡"/>
    <s v="C0F0B0"/>
    <n v="24.2761"/>
    <n v="120.77760000000001"/>
    <s v="311m"/>
    <x v="7"/>
    <s v="石岡區石岡街6號 (臺中市石岡區衛生所)"/>
    <m/>
    <d v="2016-09-13T00:00:00"/>
    <s v="石岡臺中市"/>
    <x v="0"/>
  </r>
  <r>
    <s v="中坑"/>
    <s v="C0F0C0"/>
    <n v="24.2485"/>
    <n v="120.9033"/>
    <s v="983m"/>
    <x v="7"/>
    <s v="和平區中坑里中坑段39地號內"/>
    <m/>
    <d v="2017-05-26T00:00:00"/>
    <s v="中坑臺中市"/>
    <x v="1"/>
  </r>
  <r>
    <s v="審馬陣"/>
    <s v="C0F0D0"/>
    <n v="24.381699999999999"/>
    <n v="121.4203"/>
    <s v="3171m"/>
    <x v="7"/>
    <s v="和平區南湖大山指標16.2K處(審馬陣山附近)"/>
    <m/>
    <d v="2017-12-28T00:00:00"/>
    <s v="審馬陣臺中市"/>
    <x v="1"/>
  </r>
  <r>
    <s v="南湖圈谷"/>
    <s v="C0F0E0"/>
    <n v="24.363700000000001"/>
    <n v="121.4447"/>
    <s v="3557m"/>
    <x v="7"/>
    <s v="和平區南湖大山指標20K處(南湖主峰東峰岔路附近)"/>
    <m/>
    <d v="2017-12-28T00:00:00"/>
    <s v="南湖圈谷臺中市"/>
    <x v="1"/>
  </r>
  <r>
    <s v="東勢"/>
    <s v="C0F850"/>
    <n v="24.246400000000001"/>
    <n v="120.833"/>
    <s v="379m"/>
    <x v="7"/>
    <s v="東勢區東關路647號(東勢林區管理處雙崎工作站內)"/>
    <s v="原(C1F850)站因擴充為氣象站，於2011/11/1升級為(C0F850)站。"/>
    <d v="2011-11-01T00:00:00"/>
    <s v="東勢臺中市"/>
    <x v="2"/>
  </r>
  <r>
    <s v="大坑"/>
    <s v="C0F970"/>
    <n v="24.173100000000002"/>
    <n v="120.7223"/>
    <s v="145m"/>
    <x v="7"/>
    <s v="北屯區軍福十三路268號(東山消防分隊)"/>
    <s v="原(C1F970)站因擴充為氣象站，於2011/11/1升級為(C0F970)站。"/>
    <d v="2011-11-01T00:00:00"/>
    <s v="大坑臺中市"/>
    <x v="0"/>
  </r>
  <r>
    <s v="神岡"/>
    <s v="C0F9I0"/>
    <n v="24.272500000000001"/>
    <n v="120.6583"/>
    <s v="194m"/>
    <x v="7"/>
    <s v="神岡區三民路639號(圳堵國小校園南側大樓屋頂平台)"/>
    <s v="本站原為雨量站(C1F9I0)，於2011/11/1擴充為氣象站，變更站碼為(C0F9I0)。於2025/02/05完成儀器汰換。"/>
    <d v="2011-11-01T00:00:00"/>
    <s v="神岡臺中市"/>
    <x v="0"/>
  </r>
  <r>
    <s v="大安"/>
    <s v="C0F9K0"/>
    <n v="24.345099999999999"/>
    <n v="120.58799999999999"/>
    <s v="30m"/>
    <x v="7"/>
    <s v="大安區中庄里中山南路296號(大安國小)"/>
    <s v="於2024/01/08完成儀器汰換"/>
    <d v="2011-03-07T00:00:00"/>
    <s v="大安臺中市"/>
    <x v="0"/>
  </r>
  <r>
    <s v="后里"/>
    <s v="C0F9L0"/>
    <n v="24.310400000000001"/>
    <n v="120.72969999999999"/>
    <s v="253m"/>
    <x v="7"/>
    <s v="后里區甲后路110號(后里國小)"/>
    <m/>
    <d v="2011-03-09T00:00:00"/>
    <s v="后里臺中市"/>
    <x v="0"/>
  </r>
  <r>
    <s v="豐原"/>
    <s v="C0F9M0"/>
    <n v="24.254300000000001"/>
    <n v="120.72069999999999"/>
    <s v="230m"/>
    <x v="7"/>
    <s v="豐原區豐榮里12鄰新生北路155號(豐原國小)"/>
    <m/>
    <d v="2011-04-07T00:00:00"/>
    <s v="豐原臺中市"/>
    <x v="0"/>
  </r>
  <r>
    <s v="大里"/>
    <s v="C0F9N0"/>
    <n v="24.092500000000001"/>
    <n v="120.70140000000001"/>
    <s v="75m"/>
    <x v="7"/>
    <s v="大里區文化街120號(塗城國小)"/>
    <m/>
    <d v="2011-05-26T00:00:00"/>
    <s v="大里臺中市"/>
    <x v="0"/>
  </r>
  <r>
    <s v="潭子"/>
    <s v="C0F9O0"/>
    <n v="24.213100000000001"/>
    <n v="120.7039"/>
    <s v="175m"/>
    <x v="7"/>
    <s v="潭子區中山路二段435號(潭子國小)"/>
    <m/>
    <d v="2011-03-29T00:00:00"/>
    <s v="潭子臺中市"/>
    <x v="0"/>
  </r>
  <r>
    <s v="清水"/>
    <s v="C0F9P0"/>
    <n v="24.3123"/>
    <n v="120.5622"/>
    <s v="26m"/>
    <x v="7"/>
    <s v="清水區護岸路37號(高美國小)"/>
    <s v="於2024/01/08完成儀器汰換"/>
    <d v="2011-01-31T00:00:00"/>
    <s v="清水臺中市"/>
    <x v="0"/>
  </r>
  <r>
    <s v="外埔"/>
    <s v="C0F9Q0"/>
    <n v="24.347799999999999"/>
    <n v="120.70569999999999"/>
    <s v="149m"/>
    <x v="7"/>
    <s v="外埔區土城里土城西路55號(安定國小)"/>
    <m/>
    <d v="2011-04-14T00:00:00"/>
    <s v="外埔臺中市"/>
    <x v="0"/>
  </r>
  <r>
    <s v="龍井"/>
    <s v="C0F9R0"/>
    <n v="24.1845"/>
    <n v="120.529"/>
    <s v="20m"/>
    <x v="7"/>
    <s v="龍井區西里龍門路51號(龍井國小)"/>
    <s v="於2024/01/08完成儀器汰換"/>
    <d v="2011-01-31T00:00:00"/>
    <s v="龍井臺中市"/>
    <x v="0"/>
  </r>
  <r>
    <s v="烏日"/>
    <s v="C0F9S0"/>
    <n v="24.107099999999999"/>
    <n v="120.6241"/>
    <s v="43m"/>
    <x v="7"/>
    <s v="烏日區中山路二段196號(烏日國小)"/>
    <s v="於2024/01/08完成儀器汰換"/>
    <d v="2011-05-26T00:00:00"/>
    <s v="烏日臺中市"/>
    <x v="0"/>
  </r>
  <r>
    <s v="西屯"/>
    <s v="C0F9T0"/>
    <n v="24.179500000000001"/>
    <n v="120.6413"/>
    <s v="111m"/>
    <x v="7"/>
    <s v="西屯區西屯路二段300號(西屯國小)"/>
    <s v="於2024/01/08完成儀器汰換"/>
    <d v="2011-05-10T00:00:00"/>
    <s v="西屯臺中市"/>
    <x v="0"/>
  </r>
  <r>
    <s v="南屯"/>
    <s v="C0F9U0"/>
    <n v="24.137"/>
    <n v="120.63800000000001"/>
    <s v="74m"/>
    <x v="7"/>
    <s v="南屯區黎明路一段968號(南屯國小)"/>
    <s v="於2024/01/08完成儀器汰換"/>
    <d v="2011-05-19T00:00:00"/>
    <s v="南屯臺中市"/>
    <x v="0"/>
  </r>
  <r>
    <s v="新社"/>
    <s v="C0F9V0"/>
    <n v="24.200199999999999"/>
    <n v="120.8158"/>
    <s v="525m"/>
    <x v="7"/>
    <s v="新社區大南里興中街46號(農委會種苗改良繁殖場)"/>
    <m/>
    <d v="2011-03-02T00:00:00"/>
    <s v="新社臺中市"/>
    <x v="1"/>
  </r>
  <r>
    <s v="大雅(中科園區)"/>
    <s v="C0F9X0"/>
    <n v="24.215299999999999"/>
    <n v="120.62439999999999"/>
    <s v="166m"/>
    <x v="7"/>
    <s v="大雅區中部科學工業園區臺中園區(汙水處理機房樓頂)"/>
    <s v="於2024/01/08完成儀器汰換"/>
    <d v="2015-07-31T00:00:00"/>
    <s v="大雅(中科園區)臺中市"/>
    <x v="0"/>
  </r>
  <r>
    <s v="桃山"/>
    <s v="C0F9Y0"/>
    <n v="24.432700000000001"/>
    <n v="121.3038"/>
    <s v="3313m"/>
    <x v="7"/>
    <s v="和平區(位於往桃山山屋叉路解說牌附近)"/>
    <m/>
    <d v="2016-04-28T00:00:00"/>
    <s v="桃山臺中市"/>
    <x v="1"/>
  </r>
  <r>
    <s v="雪山東峰"/>
    <s v="C0F9Z0"/>
    <n v="24.3888"/>
    <n v="121.2687"/>
    <s v="3193m"/>
    <x v="7"/>
    <s v="和平區(位於雪山東峰直升機停機坪東南東方60公尺處)"/>
    <m/>
    <d v="2016-05-18T00:00:00"/>
    <s v="雪山東峰臺中市"/>
    <x v="1"/>
  </r>
  <r>
    <s v="松柏"/>
    <s v="C0FA10"/>
    <n v="24.429099999999998"/>
    <n v="120.61750000000001"/>
    <s v="22m"/>
    <x v="7"/>
    <s v="大甲區順帆路233號(松柏安檢所樓頂)"/>
    <m/>
    <d v="2022-03-09T00:00:00"/>
    <s v="松柏臺中市"/>
    <x v="0"/>
  </r>
  <r>
    <s v="溫寮"/>
    <s v="C0FA20"/>
    <n v="24.372199999999999"/>
    <n v="120.5831"/>
    <s v="26m"/>
    <x v="7"/>
    <s v="大安區中山北路1巷67號(臺中大安區里民活動中心樓頂)"/>
    <m/>
    <d v="2022-03-09T00:00:00"/>
    <s v="溫寮臺中市"/>
    <x v="0"/>
  </r>
  <r>
    <s v="梧棲"/>
    <s v="C0FA30"/>
    <n v="24.256"/>
    <n v="120.5234"/>
    <s v="31.73m"/>
    <x v="7"/>
    <s v="梧棲區臺灣大道十段2號海港大樓6樓"/>
    <s v="本站站碼於2022/8/1由467770改為C0FA30。"/>
    <d v="2022-08-01T00:00:00"/>
    <s v="梧棲臺中市"/>
    <x v="0"/>
  </r>
  <r>
    <s v="臺中電廠"/>
    <s v="C0FA40"/>
    <n v="24.214600000000001"/>
    <n v="120.4907"/>
    <s v="25m"/>
    <x v="7"/>
    <s v="龍井區龍昌路1號"/>
    <m/>
    <d v="2022-12-26T00:00:00"/>
    <s v="臺中電廠臺中市"/>
    <x v="0"/>
  </r>
  <r>
    <s v="霧峰"/>
    <s v="C0FA50"/>
    <n v="24.041899999999998"/>
    <n v="120.6995"/>
    <s v="58m"/>
    <x v="7"/>
    <s v="霧峰區新生路192號(921地震教育園區內)"/>
    <m/>
    <d v="2023-03-10T00:00:00"/>
    <s v="霧峰臺中市"/>
    <x v="0"/>
  </r>
  <r>
    <s v="鞍馬山工作站"/>
    <s v="C0FA60"/>
    <n v="24.267099999999999"/>
    <n v="121.0008"/>
    <s v="2137m"/>
    <x v="7"/>
    <s v="和平區鞍馬山段31地號"/>
    <m/>
    <d v="2025-03-27T00:00:00"/>
    <s v="鞍馬山工作站臺中市"/>
    <x v="1"/>
  </r>
  <r>
    <s v="大雪山埡口"/>
    <s v="C0FA70"/>
    <n v="24.268699999999999"/>
    <n v="121.03060000000001"/>
    <s v="2591m"/>
    <x v="7"/>
    <s v="和平區小雪山段36地號"/>
    <m/>
    <d v="2025-03-27T00:00:00"/>
    <s v="大雪山埡口臺中市"/>
    <x v="1"/>
  </r>
  <r>
    <s v="小雪山天池"/>
    <s v="C0FA80"/>
    <n v="24.280200000000001"/>
    <n v="121.02630000000001"/>
    <s v="2629m"/>
    <x v="7"/>
    <s v="和平區小雪山段3地號"/>
    <m/>
    <d v="2025-03-27T00:00:00"/>
    <s v="小雪山天池臺中市"/>
    <x v="1"/>
  </r>
  <r>
    <s v="小雪山林道"/>
    <s v="C0FA90"/>
    <n v="24.295100000000001"/>
    <n v="121.0365"/>
    <s v="2940m"/>
    <x v="7"/>
    <s v="和平區小雪山段51地號"/>
    <m/>
    <d v="2025-03-27T00:00:00"/>
    <s v="小雪山林道臺中市"/>
    <x v="1"/>
  </r>
  <r>
    <s v="大雪山"/>
    <s v="C0FB00"/>
    <n v="24.2547"/>
    <n v="121.0074"/>
    <s v="2275m"/>
    <x v="7"/>
    <s v="和平區鞍馬山段4地號"/>
    <m/>
    <d v="2025-03-27T00:00:00"/>
    <s v="大雪山臺中市"/>
    <x v="1"/>
  </r>
  <r>
    <s v="出雲山苗圃"/>
    <s v="C0FB10"/>
    <n v="24.231000000000002"/>
    <n v="120.90479999999999"/>
    <s v="1034m"/>
    <x v="7"/>
    <s v="和平區橫流溪段41地號"/>
    <m/>
    <d v="2025-03-27T00:00:00"/>
    <s v="出雲山苗圃臺中市"/>
    <x v="1"/>
  </r>
  <r>
    <s v="雪山橋"/>
    <s v="C0FB20"/>
    <n v="24.2319"/>
    <n v="120.9786"/>
    <s v="2006m"/>
    <x v="7"/>
    <s v="和平區鞍馬山段111地號"/>
    <m/>
    <d v="2025-03-27T00:00:00"/>
    <s v="雪山橋臺中市"/>
    <x v="1"/>
  </r>
  <r>
    <s v="八仙山苗圃"/>
    <s v="C0FB30"/>
    <n v="24.192699999999999"/>
    <n v="121.0014"/>
    <s v="961m"/>
    <x v="7"/>
    <s v="和平區八仙山段32地號"/>
    <m/>
    <d v="2025-03-27T00:00:00"/>
    <s v="八仙山苗圃臺中市"/>
    <x v="1"/>
  </r>
  <r>
    <s v="中橫21.6k"/>
    <s v="C0FB40"/>
    <n v="24.2499"/>
    <n v="121.1455"/>
    <s v="1341m"/>
    <x v="7"/>
    <s v="和平區光明段12地號"/>
    <m/>
    <d v="2025-03-27T00:00:00"/>
    <s v="中橫21.6k臺中市"/>
    <x v="1"/>
  </r>
  <r>
    <s v="大甲溪埔"/>
    <s v="C0FB70"/>
    <n v="24.3706"/>
    <n v="120.62009999999999"/>
    <s v="41m"/>
    <x v="7"/>
    <s v="台中市大甲區東西七路一段(大甲飛龍團九天玄女會館入口旁)"/>
    <s v="於2025/02/07變更站名。"/>
    <d v="2025-02-05T00:00:00"/>
    <s v="大甲溪埔臺中市"/>
    <x v="0"/>
  </r>
  <r>
    <s v="芬園"/>
    <s v="C0G620"/>
    <n v="24.015699999999999"/>
    <n v="120.62130000000001"/>
    <s v="110m"/>
    <x v="8"/>
    <s v="芬園鄉楓坑村大埔崙產業道路上(芬園往臺灣民俗村路上)"/>
    <s v="原(C1G620)站因擴充為氣象站，於2011/11/1升級為(C0G620)站。"/>
    <d v="2011-11-01T00:00:00"/>
    <s v="芬園彰化縣"/>
    <x v="0"/>
  </r>
  <r>
    <s v="員林"/>
    <s v="C0G650"/>
    <n v="23.9465"/>
    <n v="120.5856"/>
    <s v="34m"/>
    <x v="8"/>
    <s v="員林市萬年里明倫路2號(明倫國中內)"/>
    <s v="本站於2011/3/10進行儀器汰換，於2011/11/1完成驗收。"/>
    <d v="1992-05-06T00:00:00"/>
    <s v="員林彰化縣"/>
    <x v="0"/>
  </r>
  <r>
    <s v="溪湖"/>
    <s v="C0G660"/>
    <n v="23.948399999999999"/>
    <n v="120.4791"/>
    <s v="27m"/>
    <x v="8"/>
    <s v="溪湖鎮大竹里彰水路2段725號(湖南國民小學內)"/>
    <s v="原(C1G660)站因擴充為氣象站，於2011/11/1升級為(C0G660)站。"/>
    <d v="2011-11-01T00:00:00"/>
    <s v="溪湖彰化縣"/>
    <x v="0"/>
  </r>
  <r>
    <s v="溪州"/>
    <s v="C0G720"/>
    <n v="23.851600000000001"/>
    <n v="120.4991"/>
    <s v="50m"/>
    <x v="8"/>
    <s v="溪州鄉溪下路四段560號(溪州鄉公所)"/>
    <m/>
    <d v="2015-03-12T00:00:00"/>
    <s v="溪州彰化縣"/>
    <x v="2"/>
  </r>
  <r>
    <s v="二林"/>
    <s v="C0G730"/>
    <n v="23.903300000000002"/>
    <n v="120.37609999999999"/>
    <s v="27m"/>
    <x v="8"/>
    <s v="二林鎮仁愛路200號(二林消防分隊)"/>
    <s v="原中西(C1G700)站因移位及擴充為氣象站，於2015/7/1升級為(C0G730)站，站名更變為二林。"/>
    <d v="2015-07-01T00:00:00"/>
    <s v="二林彰化縣"/>
    <x v="0"/>
  </r>
  <r>
    <s v="大城"/>
    <s v="C0G740"/>
    <n v="23.852499999999999"/>
    <n v="120.32089999999999"/>
    <s v="24m"/>
    <x v="8"/>
    <s v="大城鄉東城村中平路185號(大城鄉公所)"/>
    <m/>
    <d v="2015-03-09T00:00:00"/>
    <s v="大城彰化縣"/>
    <x v="0"/>
  </r>
  <r>
    <s v="福興"/>
    <s v="C0G770"/>
    <n v="24.0413"/>
    <n v="120.43770000000001"/>
    <s v="15m"/>
    <x v="8"/>
    <s v="福興鄉員鹿路二段270號(福興國中)"/>
    <s v="於2024/01/08完成儀器汰換"/>
    <d v="2011-06-02T00:00:00"/>
    <s v="福興彰化縣"/>
    <x v="0"/>
  </r>
  <r>
    <s v="秀水"/>
    <s v="C0G780"/>
    <n v="24.034099999999999"/>
    <n v="120.5039"/>
    <s v="27m"/>
    <x v="8"/>
    <s v="秀水鄉安東村中山路257號(秀水國小)"/>
    <m/>
    <d v="2011-08-01T00:00:00"/>
    <s v="秀水彰化縣"/>
    <x v="0"/>
  </r>
  <r>
    <s v="埔鹽"/>
    <s v="C0G800"/>
    <n v="24.000399999999999"/>
    <n v="120.43170000000001"/>
    <s v="15m"/>
    <x v="8"/>
    <s v="埔鹽鄉永樂村永樂路600號(永樂國小)"/>
    <m/>
    <d v="2011-04-12T00:00:00"/>
    <s v="埔鹽彰化縣"/>
    <x v="0"/>
  </r>
  <r>
    <s v="埔心"/>
    <s v="C0G810"/>
    <n v="23.947600000000001"/>
    <n v="120.52549999999999"/>
    <s v="26m"/>
    <x v="8"/>
    <s v="埔心鄉舊館村員鹿路四段201號(舊館國小)"/>
    <m/>
    <d v="2011-04-27T00:00:00"/>
    <s v="埔心彰化縣"/>
    <x v="0"/>
  </r>
  <r>
    <s v="田尾"/>
    <s v="C0G820"/>
    <n v="23.901700000000002"/>
    <n v="120.5094"/>
    <s v="29m"/>
    <x v="8"/>
    <s v="田尾鄉中正路二段101號(仁豐國小)"/>
    <m/>
    <d v="2011-05-05T00:00:00"/>
    <s v="田尾彰化縣"/>
    <x v="0"/>
  </r>
  <r>
    <s v="埤頭"/>
    <s v="C0G830"/>
    <n v="23.866"/>
    <n v="120.4528"/>
    <s v="27m"/>
    <x v="8"/>
    <s v="埤頭鄉大湖村大湖路260號(大湖國小)"/>
    <m/>
    <d v="2011-05-25T00:00:00"/>
    <s v="埤頭彰化縣"/>
    <x v="0"/>
  </r>
  <r>
    <s v="社頭"/>
    <s v="C0G860"/>
    <n v="23.897600000000001"/>
    <n v="120.58620000000001"/>
    <s v="45m"/>
    <x v="8"/>
    <s v="社頭鄉社斗路一段258號(社頭國小)"/>
    <m/>
    <d v="2011-05-25T00:00:00"/>
    <s v="社頭彰化縣"/>
    <x v="0"/>
  </r>
  <r>
    <s v="二水"/>
    <s v="C0G880"/>
    <n v="23.810700000000001"/>
    <n v="120.6173"/>
    <s v="92m"/>
    <x v="8"/>
    <s v="二水鄉文化村119號(二水國小)"/>
    <m/>
    <d v="2011-07-28T00:00:00"/>
    <s v="二水彰化縣"/>
    <x v="0"/>
  </r>
  <r>
    <s v="伸港"/>
    <s v="C0G890"/>
    <n v="24.148900000000001"/>
    <n v="120.48439999999999"/>
    <s v="24m"/>
    <x v="8"/>
    <s v="伸港鄉新港村和平路60號(新港國小)"/>
    <s v="於2024/01/08完成儀器汰換"/>
    <d v="2011-02-18T00:00:00"/>
    <s v="伸港彰化縣"/>
    <x v="0"/>
  </r>
  <r>
    <s v="線西"/>
    <s v="C0G900"/>
    <n v="24.1434"/>
    <n v="120.4435"/>
    <s v="20m"/>
    <x v="8"/>
    <s v="線西鄉慶福路300號（彰濱工業區線西服務大樓內)"/>
    <s v="於2024/01/08完成儀器汰換"/>
    <d v="2019-11-22T00:00:00"/>
    <s v="線西彰化縣"/>
    <x v="0"/>
  </r>
  <r>
    <s v="花壇"/>
    <s v="C0G910"/>
    <n v="24.0321"/>
    <n v="120.54949999999999"/>
    <s v="42m"/>
    <x v="8"/>
    <s v="花壇鄉彰員路2段580號（花壇國中內）"/>
    <m/>
    <d v="2019-12-20T00:00:00"/>
    <s v="花壇彰化縣"/>
    <x v="0"/>
  </r>
  <r>
    <s v="永靖"/>
    <s v="C0G920"/>
    <n v="23.924700000000001"/>
    <n v="120.5475"/>
    <s v="42m"/>
    <x v="8"/>
    <s v="永靖鄉瑚璉路230號（永靖鄉公所樓頂）"/>
    <m/>
    <d v="2022-01-04T00:00:00"/>
    <s v="永靖彰化縣"/>
    <x v="0"/>
  </r>
  <r>
    <s v="竹塘"/>
    <s v="C0G940"/>
    <n v="23.848299999999998"/>
    <n v="120.38679999999999"/>
    <s v="21m"/>
    <x v="8"/>
    <s v="竹塘鄉東陽路二段123號（長安國小校園內）"/>
    <m/>
    <d v="2022-01-22T00:00:00"/>
    <s v="竹塘彰化縣"/>
    <x v="0"/>
  </r>
  <r>
    <s v="防潮門"/>
    <s v="C0G950"/>
    <n v="24.183499999999999"/>
    <n v="120.4871"/>
    <s v="23m"/>
    <x v="8"/>
    <s v="伸港鄉全興村西全路167巷111之1號"/>
    <m/>
    <d v="2022-12-26T00:00:00"/>
    <s v="防潮門彰化縣"/>
    <x v="0"/>
  </r>
  <r>
    <s v="福寶"/>
    <s v="C0G960"/>
    <n v="24.0443"/>
    <n v="120.3814"/>
    <s v="5m"/>
    <x v="8"/>
    <s v="福興鄉"/>
    <m/>
    <d v="2022-12-26T00:00:00"/>
    <s v="福寶彰化縣"/>
    <x v="0"/>
  </r>
  <r>
    <s v="三豐"/>
    <s v="C0G970"/>
    <n v="23.882000000000001"/>
    <n v="120.2895"/>
    <s v="19m"/>
    <x v="8"/>
    <s v="大城鄉三豐村和平路30之1號"/>
    <m/>
    <d v="2022-12-26T00:00:00"/>
    <s v="三豐彰化縣"/>
    <x v="0"/>
  </r>
  <r>
    <s v="和美"/>
    <s v="C0G9B0"/>
    <n v="24.1052"/>
    <n v="120.49209999999999"/>
    <s v="26m"/>
    <x v="8"/>
    <s v="和美鎮鹿和路六段115號"/>
    <m/>
    <d v="2025-02-05T00:00:00"/>
    <s v="和美彰化縣"/>
    <x v="0"/>
  </r>
  <r>
    <s v="埔里"/>
    <s v="C0H890"/>
    <n v="23.972200000000001"/>
    <n v="120.9524"/>
    <s v="440m"/>
    <x v="9"/>
    <s v="埔里鎮大城里大城路169號(南投縣立大成國民中學內)"/>
    <s v="原大肚城(C1H890)站因擴充為氣象站，於2015/9/4升級為(C0H890)站，站名更變為埔里。"/>
    <d v="2015-09-04T00:00:00"/>
    <s v="埔里南投縣"/>
    <x v="2"/>
  </r>
  <r>
    <s v="草屯"/>
    <s v="C0H960"/>
    <n v="23.973700000000001"/>
    <n v="120.68089999999999"/>
    <s v="120m"/>
    <x v="9"/>
    <s v="草屯鎮中山里草鞋墩1街8號(草屯鎮公所樓頂)"/>
    <s v="原(C1H960)站因擴充為氣象站，於2011/11/1升級為(C0H960)站。"/>
    <d v="2011-11-01T00:00:00"/>
    <s v="草屯南投縣"/>
    <x v="0"/>
  </r>
  <r>
    <s v="昆陽"/>
    <s v="C0H990"/>
    <n v="24.121300000000002"/>
    <n v="121.2736"/>
    <s v="3076m"/>
    <x v="9"/>
    <s v="仁愛鄉昆陽警察局後方下坡處(太魯閣國家公園)石碑後20公尺"/>
    <s v="本站於2015/8/24起進行儀器汰換，並於2015/12/31完成驗收。"/>
    <d v="1992-05-23T00:00:00"/>
    <s v="昆陽南投縣"/>
    <x v="1"/>
  </r>
  <r>
    <s v="神木村"/>
    <s v="C0H9A0"/>
    <n v="23.532699999999998"/>
    <n v="120.8437"/>
    <s v="1595m"/>
    <x v="9"/>
    <s v="信義鄉神木村神木工作分站後方山坡上(對高岳營林區29林班地444號土地)"/>
    <s v="本站於2015/9/21起進行儀器汰換，並於2015/12/31完成驗收。"/>
    <d v="1998-12-16T00:00:00"/>
    <s v="神木村南投縣"/>
    <x v="1"/>
  </r>
  <r>
    <s v="合歡山"/>
    <s v="C0H9C0"/>
    <n v="24.1434"/>
    <n v="121.27249999999999"/>
    <s v="3402m"/>
    <x v="9"/>
    <s v="仁愛鄉(近合歡山三角點，由松雪樓開車約15分鐘，大甲溪事業區第81林班)"/>
    <s v="原(C0F950)站因縣市代碼不符，於2008/2/25重新編碼為(C0H9C0)站。"/>
    <d v="2008-02-25T00:00:00"/>
    <s v="合歡山南投縣"/>
    <x v="1"/>
  </r>
  <r>
    <s v="廬山"/>
    <s v="C0I010"/>
    <n v="24.033300000000001"/>
    <n v="121.1818"/>
    <s v="1562m"/>
    <x v="9"/>
    <s v="仁愛鄉精英村富貴路67號前方200公尺(廬山電力公司瞭望台)"/>
    <s v="本站於2015/7/30起進行儀器汰換，並於2015/12/31完成驗收。"/>
    <d v="1992-05-12T00:00:00"/>
    <s v="廬山南投縣"/>
    <x v="1"/>
  </r>
  <r>
    <s v="信義"/>
    <s v="C0I080"/>
    <n v="23.689699999999998"/>
    <n v="120.851"/>
    <s v="536m"/>
    <x v="9"/>
    <s v="信義鄉自強村綠美巷(內茅埔營林區23林班地)"/>
    <s v="原(C1I080)站因擴充為氣象站，於2015/9/22升級為(C0I080)站。"/>
    <d v="2015-09-22T00:00:00"/>
    <s v="信義南投縣"/>
    <x v="1"/>
  </r>
  <r>
    <s v="竹山"/>
    <s v="C0I110"/>
    <n v="23.761199999999999"/>
    <n v="120.68819999999999"/>
    <s v="161m"/>
    <x v="9"/>
    <s v="竹山鎮延和里向學街32號(竹山國民小學內)"/>
    <m/>
    <d v="1992-05-05T00:00:00"/>
    <s v="竹山南投縣"/>
    <x v="0"/>
  </r>
  <r>
    <s v="水里"/>
    <s v="C0I360"/>
    <n v="23.8126"/>
    <n v="120.8498"/>
    <s v="300m"/>
    <x v="9"/>
    <s v="水里鄉中山路一段515號(玉山國家公園管理處)"/>
    <m/>
    <d v="2015-09-23T00:00:00"/>
    <s v="水里南投縣"/>
    <x v="0"/>
  </r>
  <r>
    <s v="魚池"/>
    <s v="C0I370"/>
    <n v="23.895700000000001"/>
    <n v="120.9413"/>
    <s v="671m"/>
    <x v="9"/>
    <s v="魚池鄉東池村魚池街194號(魚池鄉衛生所)"/>
    <m/>
    <d v="2015-09-07T00:00:00"/>
    <s v="魚池南投縣"/>
    <x v="1"/>
  </r>
  <r>
    <s v="集集"/>
    <s v="C0I380"/>
    <n v="23.828199999999999"/>
    <n v="120.8015"/>
    <s v="258m"/>
    <x v="9"/>
    <s v="集集鎮民生東路1號(農委會特有生物研究保育中心)"/>
    <m/>
    <d v="2015-09-24T00:00:00"/>
    <s v="集集南投縣"/>
    <x v="0"/>
  </r>
  <r>
    <s v="仁愛"/>
    <s v="C0I390"/>
    <n v="24.022099999999998"/>
    <n v="121.1322"/>
    <s v="1184m"/>
    <x v="9"/>
    <s v="仁愛鄉仁和路50號(台電公司仁愛服務所)"/>
    <m/>
    <d v="2015-08-10T00:00:00"/>
    <s v="仁愛南投縣"/>
    <x v="1"/>
  </r>
  <r>
    <s v="名間"/>
    <s v="C0I410"/>
    <n v="23.8371"/>
    <n v="120.70140000000001"/>
    <s v="180m"/>
    <x v="9"/>
    <s v="名間鄉董門巷2號(名間鄉立體停車場)"/>
    <m/>
    <d v="2015-09-30T00:00:00"/>
    <s v="名間南投縣"/>
    <x v="0"/>
  </r>
  <r>
    <s v="國姓"/>
    <s v="C0I420"/>
    <n v="24.037800000000001"/>
    <n v="120.85509999999999"/>
    <s v="305m"/>
    <x v="9"/>
    <s v="國姓鄉民族街40號(國姓鄉老人文康活動中心)"/>
    <m/>
    <d v="2015-09-02T00:00:00"/>
    <s v="國姓南投縣"/>
    <x v="0"/>
  </r>
  <r>
    <s v="南投"/>
    <s v="C0I460"/>
    <n v="23.9115"/>
    <n v="120.68729999999999"/>
    <s v="110m"/>
    <x v="9"/>
    <s v="南投市龍泉里玉井街5號(南投市公所樓頂)"/>
    <m/>
    <d v="2015-09-03T00:00:00"/>
    <s v="南投南投縣"/>
    <x v="0"/>
  </r>
  <r>
    <s v="梅峰"/>
    <s v="C0I480"/>
    <n v="24.0853"/>
    <n v="121.17359999999999"/>
    <s v="2165m"/>
    <x v="9"/>
    <s v="仁愛鄉大同村仁和路215號(梅峰農場)"/>
    <m/>
    <d v="2015-10-06T00:00:00"/>
    <s v="梅峰南投縣"/>
    <x v="1"/>
  </r>
  <r>
    <s v="萬大林道"/>
    <s v="C0I490"/>
    <n v="23.9282"/>
    <n v="121.09139999999999"/>
    <s v="1601m"/>
    <x v="9"/>
    <s v="仁愛鄉曲冰段(萬大林道約7.2k附近高地)"/>
    <m/>
    <d v="2015-10-07T00:00:00"/>
    <s v="萬大林道南投縣"/>
    <x v="1"/>
  </r>
  <r>
    <s v="玉山風口"/>
    <s v="C0I520"/>
    <n v="23.470500000000001"/>
    <n v="120.956"/>
    <s v="3860m"/>
    <x v="9"/>
    <s v="信義鄉(玉山主峰往北峰叉路空地附近)"/>
    <m/>
    <d v="2016-05-22T00:00:00"/>
    <s v="玉山風口南投縣"/>
    <x v="1"/>
  </r>
  <r>
    <s v="小奇萊"/>
    <s v="C0I530"/>
    <n v="24.131799999999998"/>
    <n v="121.2957"/>
    <s v="3014m"/>
    <x v="9"/>
    <s v="仁愛鄉小奇萊步道指標1.5K處附近"/>
    <m/>
    <d v="2017-12-28T00:00:00"/>
    <s v="小奇萊南投縣"/>
    <x v="1"/>
  </r>
  <r>
    <s v="奇萊稜線"/>
    <s v="C0I540"/>
    <n v="24.109200000000001"/>
    <n v="121.3265"/>
    <s v="3344m"/>
    <x v="9"/>
    <s v="仁愛鄉奇萊連峰指標6.4K處(奇萊山屋附近)"/>
    <m/>
    <d v="2017-12-28T00:00:00"/>
    <s v="奇萊稜線南投縣"/>
    <x v="1"/>
  </r>
  <r>
    <s v="宜梧"/>
    <s v="C0K291"/>
    <n v="23.536300000000001"/>
    <n v="120.16930000000001"/>
    <s v="8m"/>
    <x v="10"/>
    <s v="口湖鄉湖口村170號央廣口湖分台內(憲兵排樓頂)"/>
    <s v="原(C0K290)站因觀測位置不佳，於2010/9/27更變為(C0K291)站。於2015/7/1遷移至原址鄰近旁建物樓頂並進行儀器汰換。"/>
    <d v="2010-09-27T00:00:00"/>
    <s v="宜梧雲林縣"/>
    <x v="0"/>
  </r>
  <r>
    <s v="虎尾"/>
    <s v="C0K330"/>
    <n v="23.719200000000001"/>
    <n v="120.44199999999999"/>
    <s v="38m"/>
    <x v="10"/>
    <s v="虎尾鎮林森路一段64號(中正國民小學內)"/>
    <s v="本站於2015/5/27起進行儀器汰換，並於2015/7/1完成驗收。"/>
    <d v="1992-12-12T00:00:00"/>
    <s v="虎尾雲林縣"/>
    <x v="2"/>
  </r>
  <r>
    <s v="土庫"/>
    <s v="C0K390"/>
    <n v="23.678999999999998"/>
    <n v="120.3956"/>
    <s v="31m"/>
    <x v="10"/>
    <s v="土庫鎮建國路41號(土庫消防分隊)"/>
    <m/>
    <d v="2015-05-07T00:00:00"/>
    <s v="土庫雲林縣"/>
    <x v="0"/>
  </r>
  <r>
    <s v="斗六"/>
    <s v="C0K400"/>
    <n v="23.720600000000001"/>
    <n v="120.5411"/>
    <s v="65m"/>
    <x v="10"/>
    <s v="斗六市鎮北路345-1號(斗六消防分隊)"/>
    <m/>
    <d v="2015-03-10T00:00:00"/>
    <s v="斗六雲林縣"/>
    <x v="0"/>
  </r>
  <r>
    <s v="北港"/>
    <s v="C0K410"/>
    <n v="23.574000000000002"/>
    <n v="120.2928"/>
    <s v="20m"/>
    <x v="10"/>
    <s v="北港鎮大同路565號(北港消防分隊)"/>
    <m/>
    <d v="2015-03-23T00:00:00"/>
    <s v="北港雲林縣"/>
    <x v="0"/>
  </r>
  <r>
    <s v="西螺"/>
    <s v="C0K420"/>
    <n v="23.8004"/>
    <n v="120.4674"/>
    <s v="42m"/>
    <x v="10"/>
    <s v="西螺鎮公正路211號(西螺消防分隊)"/>
    <m/>
    <d v="2015-05-06T00:00:00"/>
    <s v="西螺雲林縣"/>
    <x v="0"/>
  </r>
  <r>
    <s v="褒忠"/>
    <s v="C0K430"/>
    <n v="23.690899999999999"/>
    <n v="120.3036"/>
    <s v="30m"/>
    <x v="10"/>
    <s v="褒忠鄉中正路451號(褒忠鄉公所)"/>
    <m/>
    <d v="2015-04-29T00:00:00"/>
    <s v="褒忠雲林縣"/>
    <x v="0"/>
  </r>
  <r>
    <s v="二崙"/>
    <s v="C0K440"/>
    <n v="23.7728"/>
    <n v="120.4089"/>
    <s v="35m"/>
    <x v="10"/>
    <s v="二崙鄉中正路80號(二崙消防分隊)"/>
    <m/>
    <d v="2015-04-30T00:00:00"/>
    <s v="二崙雲林縣"/>
    <x v="0"/>
  </r>
  <r>
    <s v="大埤"/>
    <s v="C0K450"/>
    <n v="23.646100000000001"/>
    <n v="120.4315"/>
    <s v="35m"/>
    <x v="10"/>
    <s v="大埤鄉中山路8號(大埤鄉公所)"/>
    <m/>
    <d v="2015-02-13T00:00:00"/>
    <s v="大埤雲林縣"/>
    <x v="0"/>
  </r>
  <r>
    <s v="斗南"/>
    <s v="C0K460"/>
    <n v="23.678699999999999"/>
    <n v="120.47839999999999"/>
    <s v="60m"/>
    <x v="10"/>
    <s v="斗南鎮延平路二段266號(斗南鎮停一立體停車場)"/>
    <m/>
    <d v="2015-03-11T00:00:00"/>
    <s v="斗南雲林縣"/>
    <x v="0"/>
  </r>
  <r>
    <s v="林內"/>
    <s v="C0K470"/>
    <n v="23.748699999999999"/>
    <n v="120.6096"/>
    <s v="97m"/>
    <x v="10"/>
    <s v="林內鄉中正路685號(林內消防分隊)"/>
    <m/>
    <d v="2015-03-06T00:00:00"/>
    <s v="林內雲林縣"/>
    <x v="0"/>
  </r>
  <r>
    <s v="莿桐"/>
    <s v="C0K480"/>
    <n v="23.761199999999999"/>
    <n v="120.50239999999999"/>
    <s v="56m"/>
    <x v="10"/>
    <s v="莿桐鄉和平路53號(莿桐鄉公所)"/>
    <m/>
    <d v="2015-03-18T00:00:00"/>
    <s v="莿桐雲林縣"/>
    <x v="0"/>
  </r>
  <r>
    <s v="元長"/>
    <s v="C0K500"/>
    <n v="23.649799999999999"/>
    <n v="120.315"/>
    <s v="12m"/>
    <x v="10"/>
    <s v="元長鄉長南村仁愛街2號(元長鄉公所)"/>
    <m/>
    <d v="2015-03-20T00:00:00"/>
    <s v="元長雲林縣"/>
    <x v="0"/>
  </r>
  <r>
    <s v="水林"/>
    <s v="C0K510"/>
    <n v="23.572900000000001"/>
    <n v="120.246"/>
    <s v="10m"/>
    <x v="10"/>
    <s v="水林鄉水北村水林路12號(水林鄉公所)"/>
    <m/>
    <d v="2015-03-19T00:00:00"/>
    <s v="水林雲林縣"/>
    <x v="0"/>
  </r>
  <r>
    <s v="臺西"/>
    <s v="C0K530"/>
    <n v="23.701499999999999"/>
    <n v="120.19759999999999"/>
    <s v="12m"/>
    <x v="10"/>
    <s v="台西鄉中山路110巷38號(臺西消防分隊)"/>
    <m/>
    <d v="2015-03-28T00:00:00"/>
    <s v="臺西雲林縣"/>
    <x v="0"/>
  </r>
  <r>
    <s v="蔦松"/>
    <s v="C0K550"/>
    <n v="23.514299999999999"/>
    <n v="120.22969999999999"/>
    <s v="15m"/>
    <x v="10"/>
    <s v="水林鄉松中村蔦松路213號(蔦松國小)"/>
    <m/>
    <d v="2015-10-26T00:00:00"/>
    <s v="蔦松雲林縣"/>
    <x v="0"/>
  </r>
  <r>
    <s v="棋山"/>
    <s v="C0K560"/>
    <n v="23.686499999999999"/>
    <n v="120.60339999999999"/>
    <s v="117m"/>
    <x v="10"/>
    <s v="古坑鄉棋盤村棋山49號(棋山國小)"/>
    <m/>
    <d v="2015-10-22T00:00:00"/>
    <s v="棋山雲林縣"/>
    <x v="0"/>
  </r>
  <r>
    <s v="高鐵雲林"/>
    <s v="C0K580"/>
    <n v="23.737500000000001"/>
    <n v="120.4179"/>
    <s v="26m"/>
    <x v="10"/>
    <s v="虎尾鎮站前東路301號(高鐵雲林站外)"/>
    <m/>
    <d v="2017-08-01T00:00:00"/>
    <s v="高鐵雲林雲林縣"/>
    <x v="0"/>
  </r>
  <r>
    <s v="雲林東勢"/>
    <s v="C0K590"/>
    <n v="23.674199999999999"/>
    <n v="120.2557"/>
    <s v="18m"/>
    <x v="10"/>
    <s v="東勢鄉東榮路29巷1號(東勢鄉圖書館樓頂)"/>
    <m/>
    <d v="2022-03-22T00:00:00"/>
    <s v="雲林東勢雲林縣"/>
    <x v="0"/>
  </r>
  <r>
    <s v="箔子寮"/>
    <s v="C0K600"/>
    <n v="23.619700000000002"/>
    <n v="120.14"/>
    <s v="14m"/>
    <x v="10"/>
    <s v="口湖鄉漁港路370號"/>
    <m/>
    <d v="2022-12-26T00:00:00"/>
    <s v="箔子寮雲林縣"/>
    <x v="0"/>
  </r>
  <r>
    <s v="東後寮"/>
    <s v="C0M520"/>
    <n v="23.369900000000001"/>
    <n v="120.24809999999999"/>
    <s v="15m"/>
    <x v="11"/>
    <s v="義竹鄉東光村7號(台糖東後寮農場)"/>
    <s v="原(C1M520)站因擴充為氣象站，於2015/7/1升級為(C0M520)站。"/>
    <d v="2015-07-03T00:00:00"/>
    <s v="東後寮嘉義縣"/>
    <x v="0"/>
  </r>
  <r>
    <s v="奮起湖"/>
    <s v="C0M530"/>
    <n v="23.4939"/>
    <n v="120.69929999999999"/>
    <s v="1385m"/>
    <x v="11"/>
    <s v="竹崎鄉阿里山事業區148林班地(中興苗圃內)"/>
    <s v="本站於2015/7/7起進行儀器汰換，並於2015/12/31完成驗收。"/>
    <d v="1992-12-05T00:00:00"/>
    <s v="奮起湖嘉義縣"/>
    <x v="1"/>
  </r>
  <r>
    <s v="中埔"/>
    <s v="C0M640"/>
    <n v="23.4254"/>
    <n v="120.52290000000001"/>
    <s v="155m"/>
    <x v="11"/>
    <s v="中埔鄉中埔村128號(中埔鄉公所)"/>
    <m/>
    <d v="2015-04-20T00:00:00"/>
    <s v="中埔嘉義縣"/>
    <x v="0"/>
  </r>
  <r>
    <s v="朴子"/>
    <s v="C0M650"/>
    <n v="23.4346"/>
    <n v="120.239"/>
    <s v="20m"/>
    <x v="11"/>
    <s v="朴子市竹村里36號(竹村國小)"/>
    <m/>
    <d v="2015-03-26T00:00:00"/>
    <s v="朴子嘉義縣"/>
    <x v="0"/>
  </r>
  <r>
    <s v="溪口"/>
    <s v="C0M660"/>
    <n v="23.604099999999999"/>
    <n v="120.4036"/>
    <s v="40m"/>
    <x v="11"/>
    <s v="溪口鄉中正東路103號(溪口國中學生活動中心)"/>
    <m/>
    <d v="2015-04-29T00:00:00"/>
    <s v="溪口嘉義縣"/>
    <x v="0"/>
  </r>
  <r>
    <s v="大林"/>
    <s v="C0M670"/>
    <n v="23.6006"/>
    <n v="120.4584"/>
    <s v="43m"/>
    <x v="11"/>
    <s v="大林鎮新興街110號(大林地政事務所)"/>
    <m/>
    <d v="2015-04-24T00:00:00"/>
    <s v="大林嘉義縣"/>
    <x v="0"/>
  </r>
  <r>
    <s v="太保"/>
    <s v="C0M680"/>
    <n v="23.455100000000002"/>
    <n v="120.33150000000001"/>
    <s v="37m"/>
    <x v="11"/>
    <s v="太保市太保里31號(太保市圖書館)"/>
    <m/>
    <d v="2015-03-25T00:00:00"/>
    <s v="太保嘉義縣"/>
    <x v="0"/>
  </r>
  <r>
    <s v="水上"/>
    <s v="C0M690"/>
    <n v="23.419699999999999"/>
    <n v="120.38890000000001"/>
    <s v="33m"/>
    <x v="11"/>
    <s v="水上鄉三鎮村三鎮路119號(水上消防分隊)"/>
    <m/>
    <d v="2015-04-14T00:00:00"/>
    <s v="水上嘉義縣"/>
    <x v="0"/>
  </r>
  <r>
    <s v="竹崎"/>
    <s v="C0M700"/>
    <n v="23.526199999999999"/>
    <n v="120.55549999999999"/>
    <s v="150m"/>
    <x v="11"/>
    <s v="竹崎鄉竹崎村舊車站79號(竹崎消防分隊)"/>
    <m/>
    <d v="2015-04-16T00:00:00"/>
    <s v="竹崎嘉義縣"/>
    <x v="0"/>
  </r>
  <r>
    <s v="東石"/>
    <s v="C0M710"/>
    <n v="23.4589"/>
    <n v="120.15389999999999"/>
    <s v="15m"/>
    <x v="11"/>
    <s v="東石鄉東石村3號(東石鄉公所)"/>
    <m/>
    <d v="2015-04-20T00:00:00"/>
    <s v="東石嘉義縣"/>
    <x v="0"/>
  </r>
  <r>
    <s v="番路"/>
    <s v="C0M720"/>
    <n v="23.464700000000001"/>
    <n v="120.55419999999999"/>
    <s v="225m"/>
    <x v="11"/>
    <s v="番路鄉下坑村蔡公店101號(番路鄉公所)"/>
    <m/>
    <d v="2015-04-23T00:00:00"/>
    <s v="番路嘉義縣"/>
    <x v="0"/>
  </r>
  <r>
    <s v="嘉義市東區"/>
    <s v="C0M730"/>
    <n v="23.457699999999999"/>
    <n v="120.4605"/>
    <s v="40m"/>
    <x v="12"/>
    <s v="親水路123 號(第五河川局水情中心)"/>
    <m/>
    <d v="2015-04-13T00:00:00"/>
    <s v="嘉義市東區嘉義市"/>
    <x v="2"/>
  </r>
  <r>
    <s v="六腳"/>
    <s v="C0M740"/>
    <n v="23.492899999999999"/>
    <n v="120.2906"/>
    <s v="15m"/>
    <x v="11"/>
    <s v="六腳鄉蒜頭村73-2號(六腳消防分隊)"/>
    <m/>
    <d v="2015-03-28T00:00:00"/>
    <s v="六腳嘉義縣"/>
    <x v="0"/>
  </r>
  <r>
    <s v="布袋"/>
    <s v="C0M750"/>
    <n v="23.3809"/>
    <n v="120.1678"/>
    <s v="10m"/>
    <x v="11"/>
    <s v="布袋鎮龍江里2-2號(布袋消防分隊)"/>
    <m/>
    <d v="2015-03-24T00:00:00"/>
    <s v="布袋嘉義縣"/>
    <x v="0"/>
  </r>
  <r>
    <s v="民雄"/>
    <s v="C0M760"/>
    <n v="23.5518"/>
    <n v="120.4285"/>
    <s v="40m"/>
    <x v="11"/>
    <s v="民雄鄉文化路7號(民雄鄉公所)"/>
    <m/>
    <d v="2015-03-17T00:00:00"/>
    <s v="民雄嘉義縣"/>
    <x v="2"/>
  </r>
  <r>
    <s v="嘉義梅山"/>
    <s v="C0M770"/>
    <n v="23.5854"/>
    <n v="120.5556"/>
    <s v="164m"/>
    <x v="11"/>
    <s v="梅山鄉中山路282號(梅山鄉公所)"/>
    <m/>
    <d v="2015-03-03T00:00:00"/>
    <s v="嘉義梅山嘉義縣"/>
    <x v="0"/>
  </r>
  <r>
    <s v="鹿草"/>
    <s v="C0M780"/>
    <n v="23.411300000000001"/>
    <n v="120.30840000000001"/>
    <s v="30m"/>
    <x v="11"/>
    <s v="鹿草鄉西井村287號(鹿草鄉公所)"/>
    <m/>
    <d v="2015-03-27T00:00:00"/>
    <s v="鹿草嘉義縣"/>
    <x v="0"/>
  </r>
  <r>
    <s v="新港"/>
    <s v="C0M790"/>
    <n v="23.5533"/>
    <n v="120.34569999999999"/>
    <s v="15m"/>
    <x v="11"/>
    <s v="新港鄉公園路28號(新港消防分隊)"/>
    <m/>
    <d v="2015-03-27T00:00:00"/>
    <s v="新港嘉義縣"/>
    <x v="0"/>
  </r>
  <r>
    <s v="茶山"/>
    <s v="C0M800"/>
    <n v="23.299099999999999"/>
    <n v="120.6648"/>
    <s v="440m"/>
    <x v="11"/>
    <s v="阿里山鄉茶山路62號之1(茶山村衛生室)"/>
    <m/>
    <d v="2015-11-03T00:00:00"/>
    <s v="茶山嘉義縣"/>
    <x v="0"/>
  </r>
  <r>
    <s v="里佳"/>
    <s v="C0M810"/>
    <n v="23.389099999999999"/>
    <n v="120.7166"/>
    <s v="1354m"/>
    <x v="11"/>
    <s v="阿里山鄉里佳村"/>
    <m/>
    <d v="2015-11-11T00:00:00"/>
    <s v="里佳嘉義縣"/>
    <x v="1"/>
  </r>
  <r>
    <s v="達邦"/>
    <s v="C0M820"/>
    <n v="23.454000000000001"/>
    <n v="120.7495"/>
    <s v="980m"/>
    <x v="11"/>
    <s v="阿里山鄉達邦村21號(鄒族自然與文化中心)"/>
    <m/>
    <d v="2015-11-04T00:00:00"/>
    <s v="達邦嘉義縣"/>
    <x v="1"/>
  </r>
  <r>
    <s v="表湖"/>
    <s v="C0M850"/>
    <n v="23.241900000000001"/>
    <n v="120.6417"/>
    <s v="695m"/>
    <x v="11"/>
    <s v="大埔鄉溪頭段1地號"/>
    <m/>
    <d v="2018-02-14T00:00:00"/>
    <s v="表湖嘉義縣"/>
    <x v="1"/>
  </r>
  <r>
    <s v="新美"/>
    <s v="C0M860"/>
    <n v="23.338000000000001"/>
    <n v="120.6832"/>
    <s v="578m"/>
    <x v="11"/>
    <s v="阿里山鄉新美村78號"/>
    <m/>
    <d v="2020-03-31T00:00:00"/>
    <s v="新美嘉義縣"/>
    <x v="1"/>
  </r>
  <r>
    <s v="好美里"/>
    <s v="C0M880"/>
    <n v="23.336400000000001"/>
    <n v="120.13800000000001"/>
    <s v="27m"/>
    <x v="11"/>
    <s v="布袋鎮好美里106號"/>
    <m/>
    <d v="2022-12-26T00:00:00"/>
    <s v="好美里嘉義縣"/>
    <x v="0"/>
  </r>
  <r>
    <s v="鯤鯓國小"/>
    <s v="C0N010"/>
    <n v="23.187899999999999"/>
    <n v="120.0889"/>
    <s v="19m"/>
    <x v="13"/>
    <s v="將軍區6號"/>
    <m/>
    <d v="2022-12-26T00:00:00"/>
    <s v="鯤鯓國小臺南市"/>
    <x v="0"/>
  </r>
  <r>
    <s v="城西"/>
    <s v="C0N020"/>
    <n v="23.056799999999999"/>
    <n v="120.0956"/>
    <s v="27m"/>
    <x v="13"/>
    <s v="安南區城西街三段431號"/>
    <m/>
    <d v="2022-12-26T00:00:00"/>
    <s v="城西臺南市"/>
    <x v="0"/>
  </r>
  <r>
    <s v="四草"/>
    <s v="C0N030"/>
    <n v="23.023499999999999"/>
    <n v="120.1116"/>
    <s v="2m"/>
    <x v="13"/>
    <s v="安南區"/>
    <m/>
    <d v="2022-12-26T00:00:00"/>
    <s v="四草臺南市"/>
    <x v="0"/>
  </r>
  <r>
    <s v="蘆竹溝"/>
    <s v="C0N040"/>
    <n v="23.234400000000001"/>
    <n v="120.09610000000001"/>
    <s v="22m"/>
    <x v="13"/>
    <s v="北門區蘆竹溝333之11號"/>
    <m/>
    <d v="2022-12-26T00:00:00"/>
    <s v="蘆竹溝臺南市"/>
    <x v="0"/>
  </r>
  <r>
    <s v="蚵寮"/>
    <s v="C0N050"/>
    <n v="23.300999999999998"/>
    <n v="120.1104"/>
    <s v="37m"/>
    <x v="13"/>
    <s v="北門區保吉里雙春里8鄰73-20號"/>
    <m/>
    <d v="2022-12-26T00:00:00"/>
    <s v="蚵寮臺南市"/>
    <x v="0"/>
  </r>
  <r>
    <s v="北寮"/>
    <s v="C0O830"/>
    <n v="23.079599999999999"/>
    <n v="120.495"/>
    <s v="127m"/>
    <x v="13"/>
    <s v="南化區北寮里48-4號"/>
    <s v="原(C1O830)站因擴充為氣象站，於2013/4/18升級為(C0O830)站。"/>
    <d v="2013-04-18T00:00:00"/>
    <s v="北寮臺南市"/>
    <x v="0"/>
  </r>
  <r>
    <s v="王爺宮"/>
    <s v="C0O840"/>
    <n v="23.222100000000001"/>
    <n v="120.40089999999999"/>
    <s v="134m"/>
    <x v="13"/>
    <s v="六甲區王爺里24號（六甲國小湖東分校）"/>
    <s v="原(C1O840)站因觀測條件不佳及擴充為氣象站，於2013/12/1升級為(C0O840)站。"/>
    <d v="2013-12-01T00:00:00"/>
    <s v="王爺宮臺南市"/>
    <x v="0"/>
  </r>
  <r>
    <s v="大內"/>
    <s v="C0O860"/>
    <n v="23.1188"/>
    <n v="120.3608"/>
    <s v="38m"/>
    <x v="13"/>
    <s v="大內區74201大內里63號(大內國民小學)"/>
    <s v="原(C1O860)站因擴充為氣象站，於2013/8/1升級為(C0O860)站。"/>
    <d v="2013-08-01T00:00:00"/>
    <s v="大內臺南市"/>
    <x v="0"/>
  </r>
  <r>
    <s v="善化"/>
    <s v="C0O900"/>
    <n v="23.1129"/>
    <n v="120.2972"/>
    <s v="9m"/>
    <x v="13"/>
    <s v="善化區益民寮60號(亞洲蔬菜研究發展中心內)"/>
    <s v="本站於 2013/5/11 進行儀器汰換，並於2013/8/1完成驗收。"/>
    <d v="1988-10-07T00:00:00"/>
    <s v="善化臺南市"/>
    <x v="2"/>
  </r>
  <r>
    <s v="崎頂"/>
    <s v="C0O960"/>
    <n v="22.959499999999998"/>
    <n v="120.3693"/>
    <s v="112m"/>
    <x v="13"/>
    <s v="龍崎區中坑里5鄰13號"/>
    <s v="原(C1O960)站因擴充為氣象站，於2013/4/18升級為(C0O960)站。"/>
    <d v="2013-04-18T00:00:00"/>
    <s v="崎頂臺南市"/>
    <x v="0"/>
  </r>
  <r>
    <s v="虎頭埤"/>
    <s v="C0O970"/>
    <n v="23.0214"/>
    <n v="120.3479"/>
    <s v="71m"/>
    <x v="13"/>
    <s v="新化區口埤18號(新化分場)"/>
    <s v="原(C1O970)站因擴充為氣象站，於2013/8/1升級為(C0O970)站。"/>
    <d v="2013-08-01T00:00:00"/>
    <s v="虎頭埤臺南市"/>
    <x v="0"/>
  </r>
  <r>
    <s v="新市"/>
    <s v="C0O980"/>
    <n v="23.061599999999999"/>
    <n v="120.29819999999999"/>
    <s v="18m"/>
    <x v="13"/>
    <s v="新市區永就里53號(番子寮農場)"/>
    <s v="原(C1O980)站因擴充為氣象站，於2013/8/1升級為(C0O980)站。"/>
    <d v="2013-08-01T00:00:00"/>
    <s v="新市臺南市"/>
    <x v="0"/>
  </r>
  <r>
    <s v="媽廟"/>
    <s v="C0O990"/>
    <n v="22.991700000000002"/>
    <n v="120.29349999999999"/>
    <s v="18m"/>
    <x v="13"/>
    <s v="歸仁區中正北路3段60號(保西國民小學內)"/>
    <s v="原(C1O990)站因擴充為氣象站，於2013/12/1升級為(C0O990)站。"/>
    <d v="2013-12-01T00:00:00"/>
    <s v="媽廟臺南市"/>
    <x v="0"/>
  </r>
  <r>
    <s v="尾寮山"/>
    <s v="C0R100"/>
    <n v="22.833100000000002"/>
    <n v="120.68389999999999"/>
    <s v="1006m"/>
    <x v="14"/>
    <s v="三地門鄉口社檢查站車程約2小時(尾寮山瞭望台旁)"/>
    <s v="本站於2013/10/10進行儀器汰換，並於2013/12/1完成驗收。"/>
    <d v="1992-01-22T00:00:00"/>
    <s v="尾寮山屏東縣"/>
    <x v="1"/>
  </r>
  <r>
    <s v="阿禮"/>
    <s v="C0R130"/>
    <n v="22.742899999999999"/>
    <n v="120.7437"/>
    <s v="1040m"/>
    <x v="14"/>
    <s v="霧台鄉(屏東事業區第46林班)由山地文化村開車約2小時需徒步轉波站前面"/>
    <s v="原(C1R130)站因擴充為氣象站，於2013/8/1升級為(C0R130)站。"/>
    <d v="2013-08-01T00:00:00"/>
    <s v="阿禮屏東縣"/>
    <x v="1"/>
  </r>
  <r>
    <s v="瑪家"/>
    <s v="C0R140"/>
    <n v="22.6829"/>
    <n v="120.6866"/>
    <s v="740m"/>
    <x v="14"/>
    <s v="瑪家鄉瑪家村4鄰24號(後山)"/>
    <s v="原(C1R140)站因擴充為氣象站，於2013/8/1升級為(C0R140)站。"/>
    <d v="2013-08-01T00:00:00"/>
    <s v="瑪家屏東縣"/>
    <x v="1"/>
  </r>
  <r>
    <s v="三地門"/>
    <s v="C0R150"/>
    <n v="22.709900000000001"/>
    <n v="120.6399"/>
    <s v="105m"/>
    <x v="14"/>
    <s v="內埔鄉水門村成功路83號(國立內埔高級農工職業學校內)"/>
    <s v="本站於2013/9/10進行儀器汰換，並於2013/12/1完成驗收。"/>
    <d v="1992-01-22T00:00:00"/>
    <s v="三地門屏東縣"/>
    <x v="0"/>
  </r>
  <r>
    <s v="鹽埔"/>
    <s v="C0R160"/>
    <n v="22.739599999999999"/>
    <n v="120.5308"/>
    <s v="45m"/>
    <x v="14"/>
    <s v="鹽埔鄉七份路21號(彭厝國小)"/>
    <s v="原(C1R160)站於2013/12/1變更為(C0R160)站。"/>
    <d v="2013-12-01T00:00:00"/>
    <s v="鹽埔屏東縣"/>
    <x v="0"/>
  </r>
  <r>
    <s v="赤山"/>
    <s v="C0R190"/>
    <n v="22.592300000000002"/>
    <n v="120.6143"/>
    <s v="32m"/>
    <x v="14"/>
    <s v="萬巒鄉建興路40號（赤山國小）"/>
    <s v="原(C1R190)站因觀測環境不佳，於2013/12/1遷移至(C0R190)站。"/>
    <d v="2013-12-01T00:00:00"/>
    <s v="赤山屏東縣"/>
    <x v="0"/>
  </r>
  <r>
    <s v="潮州"/>
    <s v="C0R220"/>
    <n v="22.534400000000002"/>
    <n v="120.54"/>
    <s v="23m"/>
    <x v="14"/>
    <s v="潮州鎮光春路290號(屏東縣立光春國民中學內)"/>
    <s v="本站於2013/9/10進行儀器汰換，並於2013/12/1完成驗收。"/>
    <d v="1992-01-22T00:00:00"/>
    <s v="潮州屏東縣"/>
    <x v="0"/>
  </r>
  <r>
    <s v="春日"/>
    <s v="C0R260"/>
    <n v="22.3704"/>
    <n v="120.6283"/>
    <s v="76m"/>
    <x v="14"/>
    <s v="春日鄉鄉公所資源回收場旁"/>
    <s v="原(C1R260)站因擴充為氣象站，於2013/12/1升級為(C0R260)站。"/>
    <d v="2013-12-01T00:00:00"/>
    <s v="春日屏東縣"/>
    <x v="0"/>
  </r>
  <r>
    <s v="琉球嶼"/>
    <s v="C0R270"/>
    <n v="22.3322"/>
    <n v="120.3622"/>
    <s v="51m"/>
    <x v="14"/>
    <s v="琉球鄉天台段596及597地號"/>
    <s v="本站於2013/9/26進行儀器汰換，並於2013/12/1完成驗收。"/>
    <d v="1996-08-30T00:00:00"/>
    <s v="琉球嶼屏東縣"/>
    <x v="0"/>
  </r>
  <r>
    <s v="檳榔"/>
    <s v="C0R280"/>
    <n v="22.0761"/>
    <n v="120.8368"/>
    <s v="242m"/>
    <x v="14"/>
    <s v="滿州鄉長樂村大公路14號(往南仁山方向)"/>
    <s v="本站於2019/09/19進行儀器汰換，於2019/11/28完成驗收。"/>
    <d v="1997-06-13T00:00:00"/>
    <s v="檳榔屏東縣"/>
    <x v="0"/>
  </r>
  <r>
    <s v="車城"/>
    <s v="C0R320"/>
    <n v="22.074400000000001"/>
    <n v="120.7162"/>
    <s v="7m"/>
    <x v="14"/>
    <s v="車城鄉福興村中山路66號(車城國小)"/>
    <s v="因擴充氣象站，原氣象站(C1R320)，於2019/11/28升級為氣象站，變更站碼為(C0R320)。"/>
    <d v="2019-11-28T00:00:00"/>
    <s v="車城屏東縣"/>
    <x v="0"/>
  </r>
  <r>
    <s v="牡丹"/>
    <s v="C0R341"/>
    <n v="22.13"/>
    <n v="120.79259999999999"/>
    <s v="230m"/>
    <x v="14"/>
    <s v="199縣道23K-23.5K間車城往旭海方向之右側"/>
    <s v="因擴充氣象站，原氣象站(C1R340)，於2019/11/28升級為氣象站，變更站碼為(C0R341)。"/>
    <d v="2019-11-28T00:00:00"/>
    <s v="牡丹屏東縣"/>
    <x v="0"/>
  </r>
  <r>
    <s v="貓鼻頭"/>
    <s v="C0R350"/>
    <n v="21.921800000000001"/>
    <n v="120.7358"/>
    <s v="35m"/>
    <x v="14"/>
    <s v="恆春鎮(貓鼻頭風景區內)"/>
    <s v="本站於2019/08/30進行儀器汰換，於2019/11/28完成驗收。"/>
    <d v="1997-06-01T00:00:00"/>
    <s v="貓鼻頭屏東縣"/>
    <x v="0"/>
  </r>
  <r>
    <s v="大漢山"/>
    <s v="C0R440"/>
    <n v="22.4053"/>
    <n v="120.75320000000001"/>
    <s v="1654m"/>
    <x v="14"/>
    <s v="春日鄉大漢山頂"/>
    <s v="因擴充氣象站，原氣象站(C1R440)，於2019/11/28升級為氣象站，變更站碼為(C0R440)。"/>
    <d v="2019-11-28T00:00:00"/>
    <s v="大漢山屏東縣"/>
    <x v="1"/>
  </r>
  <r>
    <s v="高樹"/>
    <s v="C0R470"/>
    <n v="22.8264"/>
    <n v="120.60080000000001"/>
    <s v="103m"/>
    <x v="14"/>
    <s v="高樹鄉興中路330號(高樹圖書館)"/>
    <m/>
    <d v="2013-06-14T00:00:00"/>
    <s v="高樹屏東縣"/>
    <x v="0"/>
  </r>
  <r>
    <s v="長治"/>
    <s v="C0R480"/>
    <n v="22.693100000000001"/>
    <n v="120.54259999999999"/>
    <s v="57m"/>
    <x v="14"/>
    <s v="長治鄉德成村中興路572-1號(長治消防分隊)"/>
    <m/>
    <d v="2013-06-07T00:00:00"/>
    <s v="長治屏東縣"/>
    <x v="0"/>
  </r>
  <r>
    <s v="九如"/>
    <s v="C0R490"/>
    <n v="22.740500000000001"/>
    <n v="120.4905"/>
    <s v="49m"/>
    <x v="14"/>
    <s v="九如鄉九如路二段416號(九如鄉公所)"/>
    <m/>
    <d v="2013-06-07T00:00:00"/>
    <s v="九如屏東縣"/>
    <x v="0"/>
  </r>
  <r>
    <s v="崁頂"/>
    <s v="C0R520"/>
    <n v="22.514800000000001"/>
    <n v="120.5069"/>
    <s v="18m"/>
    <x v="14"/>
    <s v="崁頂鄉崁頂村興農路29-10號(崁頂消防分隊)"/>
    <m/>
    <d v="2013-06-15T00:00:00"/>
    <s v="崁頂屏東縣"/>
    <x v="0"/>
  </r>
  <r>
    <s v="佳冬"/>
    <s v="C0R540"/>
    <n v="22.419499999999999"/>
    <n v="120.55240000000001"/>
    <s v="17m"/>
    <x v="14"/>
    <s v="佳冬鄉佳昌路2號(佳冬鄉公所)"/>
    <m/>
    <d v="2013-06-11T00:00:00"/>
    <s v="佳冬屏東縣"/>
    <x v="0"/>
  </r>
  <r>
    <s v="新埤"/>
    <s v="C0R550"/>
    <n v="22.4679"/>
    <n v="120.5829"/>
    <s v="38m"/>
    <x v="14"/>
    <s v="新埤鄉民眾路103號(新埤消防分隊)"/>
    <m/>
    <d v="2013-05-12T00:00:00"/>
    <s v="新埤屏東縣"/>
    <x v="0"/>
  </r>
  <r>
    <s v="新園"/>
    <s v="C0R560"/>
    <n v="22.543399999999998"/>
    <n v="120.4616"/>
    <s v="22m"/>
    <x v="14"/>
    <s v="新園鄉仙吉村店口路116號(新園消防分隊)"/>
    <m/>
    <d v="2013-06-12T00:00:00"/>
    <s v="新園屏東縣"/>
    <x v="0"/>
  </r>
  <r>
    <s v="麟洛"/>
    <s v="C0R570"/>
    <n v="22.6508"/>
    <n v="120.52719999999999"/>
    <s v="37m"/>
    <x v="14"/>
    <s v="麟洛鄉中山路158號(麟洛鄉公所)"/>
    <m/>
    <d v="2013-06-19T00:00:00"/>
    <s v="麟洛屏東縣"/>
    <x v="0"/>
  </r>
  <r>
    <s v="南州"/>
    <s v="C0R580"/>
    <n v="22.485900000000001"/>
    <n v="120.5027"/>
    <s v="10m"/>
    <x v="14"/>
    <s v="南州鄉溪南村人和路241號(南州消防分隊)"/>
    <m/>
    <d v="2013-06-12T00:00:00"/>
    <s v="南州屏東縣"/>
    <x v="0"/>
  </r>
  <r>
    <s v="里港"/>
    <s v="C0R590"/>
    <n v="22.779199999999999"/>
    <n v="120.49460000000001"/>
    <s v="72m"/>
    <x v="14"/>
    <s v="里港鄉永春村中山路104號(里港鄉公所)"/>
    <m/>
    <d v="2013-06-18T00:00:00"/>
    <s v="里港屏東縣"/>
    <x v="2"/>
  </r>
  <r>
    <s v="舊泰武"/>
    <s v="C0R600"/>
    <n v="22.588200000000001"/>
    <n v="120.6649"/>
    <s v="766m"/>
    <x v="14"/>
    <s v="泰武鄉泰武村良武巷101號(舊泰武村老人活動中心)"/>
    <m/>
    <d v="2013-10-09T00:00:00"/>
    <s v="舊泰武屏東縣"/>
    <x v="1"/>
  </r>
  <r>
    <s v="墾雷"/>
    <s v="C0R620"/>
    <n v="21.9008"/>
    <n v="120.8553"/>
    <s v="34m"/>
    <x v="14"/>
    <s v="恆春鎮燈塔路51巷33號(氣象署墾丁雷達站區內)"/>
    <s v="本站於2019/08/31進行儀器汰換，於2019/11/28完成驗收。"/>
    <d v="2015-12-28T00:00:00"/>
    <s v="墾雷屏東縣"/>
    <x v="0"/>
  </r>
  <r>
    <s v="東港"/>
    <s v="C0R640"/>
    <n v="22.462499999999999"/>
    <n v="120.44070000000001"/>
    <s v="21m"/>
    <x v="14"/>
    <s v="東港鎮豐漁里豐漁街67號（水產試驗所東港生技研究中心）"/>
    <m/>
    <d v="2018-08-11T00:00:00"/>
    <s v="東港屏東縣"/>
    <x v="0"/>
  </r>
  <r>
    <s v="竹田"/>
    <s v="C0R650"/>
    <n v="22.584900000000001"/>
    <n v="120.54340000000001"/>
    <s v="29m"/>
    <x v="14"/>
    <s v="竹田鄉中正路123號(竹田鄉公所清潔隊)"/>
    <m/>
    <d v="2018-08-11T00:00:00"/>
    <s v="竹田屏東縣"/>
    <x v="0"/>
  </r>
  <r>
    <s v="枋寮"/>
    <s v="C0R660"/>
    <n v="22.367699999999999"/>
    <n v="120.59059999999999"/>
    <s v="20m"/>
    <x v="14"/>
    <s v="枋寮鄉枋寮村德興路197號(枋寮國小)"/>
    <m/>
    <d v="2019-11-28T00:00:00"/>
    <s v="枋寮屏東縣"/>
    <x v="0"/>
  </r>
  <r>
    <s v="楓港"/>
    <s v="C0R670"/>
    <n v="22.190100000000001"/>
    <n v="120.6922"/>
    <s v="26m"/>
    <x v="14"/>
    <s v="枋山鄉善餘村光復路24號(楓港國小)"/>
    <m/>
    <d v="2019-11-28T00:00:00"/>
    <s v="楓港屏東縣"/>
    <x v="0"/>
  </r>
  <r>
    <s v="佳樂水"/>
    <s v="C0R680"/>
    <n v="21.993600000000001"/>
    <n v="120.8616"/>
    <s v="13m"/>
    <x v="14"/>
    <s v="滿州鄉佳樂水風景區內"/>
    <m/>
    <d v="2019-11-28T00:00:00"/>
    <s v="佳樂水屏東縣"/>
    <x v="0"/>
  </r>
  <r>
    <s v="墾丁"/>
    <s v="C0R690"/>
    <n v="21.966799999999999"/>
    <n v="120.8103"/>
    <s v="348m"/>
    <x v="14"/>
    <s v="恆春鎮墾丁森林遊樂區林業試驗所觀測坪"/>
    <m/>
    <d v="2019-11-28T00:00:00"/>
    <s v="墾丁屏東縣"/>
    <x v="0"/>
  </r>
  <r>
    <s v="枋山"/>
    <s v="C0R700"/>
    <n v="22.2468"/>
    <n v="120.6611"/>
    <s v="19m"/>
    <x v="14"/>
    <s v="枋山鄉中山路三段52號(加祿國小)"/>
    <m/>
    <d v="2019-11-28T00:00:00"/>
    <s v="枋山屏東縣"/>
    <x v="0"/>
  </r>
  <r>
    <s v="龍磐"/>
    <s v="C0R710"/>
    <n v="21.931699999999999"/>
    <n v="120.8389"/>
    <s v="117m"/>
    <x v="14"/>
    <s v="恆春助航台(NDB歸航台)"/>
    <m/>
    <d v="2020-04-09T00:00:00"/>
    <s v="龍磐屏東縣"/>
    <x v="0"/>
  </r>
  <r>
    <s v="旭海"/>
    <s v="C0R720"/>
    <n v="22.205400000000001"/>
    <n v="120.88760000000001"/>
    <s v="214m"/>
    <x v="14"/>
    <s v="牡丹鄉旭海大草原步道旁"/>
    <m/>
    <d v="2019-11-28T00:00:00"/>
    <s v="旭海屏東縣"/>
    <x v="0"/>
  </r>
  <r>
    <s v="大坪頂"/>
    <s v="C0R730"/>
    <n v="22.0246"/>
    <n v="120.6936"/>
    <s v="163m"/>
    <x v="14"/>
    <s v="恆春鎮大坪頂電信機房旁"/>
    <m/>
    <d v="2020-04-09T00:00:00"/>
    <s v="大坪頂屏東縣"/>
    <x v="0"/>
  </r>
  <r>
    <s v="獅子"/>
    <s v="C0R741"/>
    <n v="22.202300000000001"/>
    <n v="120.7052"/>
    <s v="72m"/>
    <x v="14"/>
    <s v="獅子鄉楓林村楓林四巷28號（獅子鄉圖書館）"/>
    <s v="原(C0R740)站因移位，於2025/01/20變更為(C0R741)站。"/>
    <d v="2025-01-20T00:00:00"/>
    <s v="獅子屏東縣"/>
    <x v="0"/>
  </r>
  <r>
    <s v="四林格山"/>
    <s v="C0R750"/>
    <n v="22.077000000000002"/>
    <n v="120.80240000000001"/>
    <s v="551m"/>
    <x v="14"/>
    <s v="牡丹鄉四林格山遊樂區第2涼亭旁大草原"/>
    <m/>
    <d v="2020-04-09T00:00:00"/>
    <s v="四林格山屏東縣"/>
    <x v="1"/>
  </r>
  <r>
    <s v="南仁湖"/>
    <s v="C0R760"/>
    <n v="22.084700000000002"/>
    <n v="120.8634"/>
    <s v="336m"/>
    <x v="14"/>
    <s v="滿州鄉南仁湖步道4K山頂觀測站旁"/>
    <m/>
    <d v="2020-04-09T00:00:00"/>
    <s v="南仁湖屏東縣"/>
    <x v="0"/>
  </r>
  <r>
    <s v="保力"/>
    <s v="C0R770"/>
    <n v="22.071100000000001"/>
    <n v="120.7641"/>
    <s v="93m"/>
    <x v="14"/>
    <s v="車城鄉保力村竹社路5號"/>
    <m/>
    <d v="2020-04-09T00:00:00"/>
    <s v="保力屏東縣"/>
    <x v="0"/>
  </r>
  <r>
    <s v="滿州"/>
    <s v="C0R780"/>
    <n v="22.0244"/>
    <n v="120.8399"/>
    <s v="72m"/>
    <x v="14"/>
    <s v="滿州鄉文化路32號"/>
    <m/>
    <d v="2020-04-09T00:00:00"/>
    <s v="滿州屏東縣"/>
    <x v="0"/>
  </r>
  <r>
    <s v="九棚"/>
    <s v="C0R790"/>
    <n v="22.141999999999999"/>
    <n v="120.88930000000001"/>
    <s v="111m"/>
    <x v="14"/>
    <s v="牡丹鄉九棚中科院基地"/>
    <m/>
    <d v="2020-04-09T00:00:00"/>
    <s v="九棚屏東縣"/>
    <x v="0"/>
  </r>
  <r>
    <s v="丹路"/>
    <s v="C0R800"/>
    <n v="22.204499999999999"/>
    <n v="120.751"/>
    <s v="131m"/>
    <x v="14"/>
    <s v="獅子鄉丹路一巷1號"/>
    <m/>
    <d v="2020-04-09T00:00:00"/>
    <s v="丹路屏東縣"/>
    <x v="0"/>
  </r>
  <r>
    <s v="內獅"/>
    <s v="C0R810"/>
    <n v="22.305099999999999"/>
    <n v="120.643"/>
    <s v="25m"/>
    <x v="14"/>
    <s v="獅子鄉內獅村1號(內獅國小)"/>
    <m/>
    <d v="2020-04-09T00:00:00"/>
    <s v="內獅屏東縣"/>
    <x v="0"/>
  </r>
  <r>
    <s v="白鷺"/>
    <s v="C0R820"/>
    <n v="22.4543"/>
    <n v="120.6662"/>
    <s v="588m"/>
    <x v="14"/>
    <s v="來義鄉白鷺大橋沿白鷺道路5.5公里處"/>
    <m/>
    <d v="2020-04-09T00:00:00"/>
    <s v="白鷺屏東縣"/>
    <x v="1"/>
  </r>
  <r>
    <s v="高士"/>
    <s v="C0R830"/>
    <n v="22.1218"/>
    <n v="120.8368"/>
    <s v="383m"/>
    <x v="14"/>
    <s v="牡丹鄉高士社區進水廠水塔頂"/>
    <m/>
    <d v="2020-04-09T00:00:00"/>
    <s v="高士屏東縣"/>
    <x v="0"/>
  </r>
  <r>
    <s v="牡丹池山"/>
    <s v="C0R840"/>
    <n v="22.168399999999998"/>
    <n v="120.8412"/>
    <s v="536m"/>
    <x v="14"/>
    <s v="牡丹鄉牡丹池山山頂"/>
    <m/>
    <d v="2020-04-09T00:00:00"/>
    <s v="牡丹池山屏東縣"/>
    <x v="1"/>
  </r>
  <r>
    <s v="林邊"/>
    <s v="C0R850"/>
    <n v="22.4634"/>
    <n v="120.5339"/>
    <s v="16m"/>
    <x v="14"/>
    <s v="林邊鄉竹林村中興路122號"/>
    <m/>
    <d v="2022-12-26T00:00:00"/>
    <s v="林邊屏東縣"/>
    <x v="0"/>
  </r>
  <r>
    <s v="鼻頭"/>
    <s v="C0R860"/>
    <n v="22.104299999999999"/>
    <n v="120.89790000000001"/>
    <s v="31m"/>
    <x v="14"/>
    <s v="滿州鄉九棚村"/>
    <m/>
    <d v="2022-12-26T00:00:00"/>
    <s v="鼻頭屏東縣"/>
    <x v="0"/>
  </r>
  <r>
    <s v="興海"/>
    <s v="C0R870"/>
    <n v="21.975200000000001"/>
    <n v="120.8439"/>
    <s v="13m"/>
    <x v="14"/>
    <s v="滿州鄉港口村13鄰興海路106號"/>
    <m/>
    <d v="2022-12-26T00:00:00"/>
    <s v="興海屏東縣"/>
    <x v="0"/>
  </r>
  <r>
    <s v="後壁湖"/>
    <s v="C0R880"/>
    <n v="21.945699999999999"/>
    <n v="120.7457"/>
    <s v="13m"/>
    <x v="14"/>
    <s v="恆春鎮大光里9鄰大光路79之40號"/>
    <m/>
    <d v="2022-12-26T00:00:00"/>
    <s v="後壁湖屏東縣"/>
    <x v="0"/>
  </r>
  <r>
    <s v="山海"/>
    <s v="C0R890"/>
    <n v="21.9878"/>
    <n v="120.70910000000001"/>
    <s v="33m"/>
    <x v="14"/>
    <s v="恆春鎮山海里山海路2之1號"/>
    <m/>
    <d v="2022-12-26T00:00:00"/>
    <s v="山海屏東縣"/>
    <x v="0"/>
  </r>
  <r>
    <s v="竹坑"/>
    <s v="C0R900"/>
    <n v="22.138500000000001"/>
    <n v="120.7022"/>
    <s v="30m"/>
    <x v="14"/>
    <s v="車城鄉海口村尖山46號"/>
    <m/>
    <d v="2022-12-26T00:00:00"/>
    <s v="竹坑屏東縣"/>
    <x v="0"/>
  </r>
  <r>
    <s v="下寮"/>
    <s v="C0R910"/>
    <n v="22.392900000000001"/>
    <n v="120.5548"/>
    <s v="8m"/>
    <x v="14"/>
    <s v="枋寮鄉德聖路47號"/>
    <m/>
    <d v="2022-12-26T00:00:00"/>
    <s v="下寮屏東縣"/>
    <x v="0"/>
  </r>
  <r>
    <s v="塭仔"/>
    <s v="C0R920"/>
    <n v="22.416899999999998"/>
    <n v="120.5197"/>
    <s v="19m"/>
    <x v="14"/>
    <s v="佳冬鄉焰溫村炯興路51號"/>
    <m/>
    <d v="2022-12-26T00:00:00"/>
    <s v="塭仔屏東縣"/>
    <x v="0"/>
  </r>
  <r>
    <s v="萬丹"/>
    <s v="C0R930"/>
    <n v="22.5885"/>
    <n v="120.4851"/>
    <s v="18m"/>
    <x v="14"/>
    <s v="萬丹鄉和平西路149號（萬丹消防分隊樓頂）"/>
    <s v="原(C0R510)站因移位，於2023/03/14變更為(C0R930)站。"/>
    <d v="2023-03-14T00:00:00"/>
    <s v="萬丹屏東縣"/>
    <x v="0"/>
  </r>
  <r>
    <s v="加祿堂"/>
    <s v="C0R940"/>
    <n v="22.336300000000001"/>
    <n v="120.6217"/>
    <s v="24m"/>
    <x v="14"/>
    <s v="枋山鄉加祿村190之300號"/>
    <s v="原(C0E940)站因縣市代碼不符，於2023/01/04重新編碼為為(C0R940)站。"/>
    <d v="2022-12-26T00:00:00"/>
    <s v="加祿堂屏東縣"/>
    <x v="0"/>
  </r>
  <r>
    <s v="萬隆國小"/>
    <s v="C0R950"/>
    <n v="22.5077"/>
    <n v="120.5878"/>
    <s v="51m"/>
    <x v="14"/>
    <s v="新埤鄉中山路126號"/>
    <m/>
    <d v="2025-02-05T00:00:00"/>
    <s v="萬隆國小屏東縣"/>
    <x v="0"/>
  </r>
  <r>
    <s v="內埔"/>
    <s v="C0R960"/>
    <n v="22.608499999999999"/>
    <n v="120.5707"/>
    <s v="58m"/>
    <x v="14"/>
    <s v="內埔鄉南華路1號"/>
    <m/>
    <d v="2025-02-05T00:00:00"/>
    <s v="內埔屏東縣"/>
    <x v="0"/>
  </r>
  <r>
    <s v="下馬"/>
    <s v="C0S660"/>
    <n v="23.150400000000001"/>
    <n v="121.0703"/>
    <s v="794m"/>
    <x v="15"/>
    <s v="海端鄉廢棄下馬派出所旁"/>
    <s v="原(C1S660)站因擴充為氣象站，於2019/6/7升級為(C0S660)站。"/>
    <d v="2019-06-07T00:00:00"/>
    <s v="下馬臺東縣"/>
    <x v="1"/>
  </r>
  <r>
    <s v="太麻里"/>
    <s v="C0S690"/>
    <n v="22.609000000000002"/>
    <n v="120.9853"/>
    <s v="522m"/>
    <x v="15"/>
    <s v="太麻里鄉(往金針山茶區之半路上)"/>
    <s v="本站於2019/3/5起進行儀器汰換，於2019/6/7完成驗收。"/>
    <d v="1997-04-24T00:00:00"/>
    <s v="太麻里臺東縣"/>
    <x v="1"/>
  </r>
  <r>
    <s v="知本"/>
    <s v="C0S700"/>
    <n v="22.684899999999999"/>
    <n v="121.0056"/>
    <s v="507m"/>
    <x v="15"/>
    <s v="卑南鄉溫泉村(溫泉國小之樂山分校內)"/>
    <s v="本站於2019/2/23進行儀器汰換，於2019/6/7完成驗收。"/>
    <d v="1997-04-24T00:00:00"/>
    <s v="知本臺東縣"/>
    <x v="1"/>
  </r>
  <r>
    <s v="鹿野"/>
    <s v="C0S710"/>
    <n v="22.9177"/>
    <n v="121.123"/>
    <s v="382m"/>
    <x v="15"/>
    <s v="鹿野鄉鹿野高台高眺亭公廁東側草地上"/>
    <s v="於2015/1/1短距離位移。本站於2019/3/20起進行儀器汰換，於2019/6/7完成驗收。"/>
    <d v="1997-04-22T00:00:00"/>
    <s v="鹿野臺東縣"/>
    <x v="0"/>
  </r>
  <r>
    <s v="綠島"/>
    <s v="C0S730"/>
    <n v="22.667200000000001"/>
    <n v="121.4753"/>
    <s v="110m"/>
    <x v="15"/>
    <s v="綠島鄉"/>
    <s v="本站於2019/3/25起進行儀器汰換，於2019/6/7完成驗收。"/>
    <d v="1997-06-14T00:00:00"/>
    <s v="綠島臺東縣"/>
    <x v="0"/>
  </r>
  <r>
    <s v="池上"/>
    <s v="C0S740"/>
    <n v="23.119599999999998"/>
    <n v="121.20950000000001"/>
    <s v="289m"/>
    <x v="15"/>
    <s v="池上鄉新興村104號(退輔會臺東農場內)"/>
    <s v="本站於2019/3/22起進行儀器汰換，於2019/6/7完成驗收。"/>
    <d v="1997-05-08T00:00:00"/>
    <s v="池上臺東縣"/>
    <x v="0"/>
  </r>
  <r>
    <s v="向陽"/>
    <s v="C0S750"/>
    <n v="23.2484"/>
    <n v="120.98609999999999"/>
    <s v="2280m"/>
    <x v="15"/>
    <s v="海端鄉向陽(公路局向陽工務段圍牆內)"/>
    <s v="本站於2019/4/16起進行儀器汰換，於2019/6/7完成驗收。"/>
    <d v="1997-05-17T00:00:00"/>
    <s v="向陽臺東縣"/>
    <x v="1"/>
  </r>
  <r>
    <s v="紅石"/>
    <s v="C0S760"/>
    <n v="23.069099999999999"/>
    <n v="121.1262"/>
    <s v="1621m"/>
    <x v="15"/>
    <s v="海端鄉紅石(紅石瞭望臺旁)"/>
    <s v="本站於2019/4/14起進行儀器汰換，於2019/6/7完成驗收。"/>
    <d v="1997-05-16T00:00:00"/>
    <s v="紅石臺東縣"/>
    <x v="1"/>
  </r>
  <r>
    <s v="大溪山"/>
    <s v="C0S770"/>
    <n v="22.4785"/>
    <n v="120.94329999999999"/>
    <s v="375m"/>
    <x v="15"/>
    <s v="太麻里鄉多良村(廢棄中華電信轉播站旁)"/>
    <s v="本站於2019/3/8起進行儀器汰換，於2019/6/7完成驗收。"/>
    <d v="1997-04-27T00:00:00"/>
    <s v="大溪山臺東縣"/>
    <x v="0"/>
  </r>
  <r>
    <s v="金崙"/>
    <s v="C0S790"/>
    <n v="22.5381"/>
    <n v="120.9669"/>
    <s v="236m"/>
    <x v="15"/>
    <s v="太麻里鄉金崙段0304-1地號"/>
    <s v="本站於2019/2/26起進行儀器汰換，於2019/6/7完成驗收。"/>
    <d v="2004-04-12T00:00:00"/>
    <s v="金崙臺東縣"/>
    <x v="0"/>
  </r>
  <r>
    <s v="東河"/>
    <s v="C0S810"/>
    <n v="22.9727"/>
    <n v="121.304"/>
    <s v="65m"/>
    <x v="15"/>
    <s v="東河鄉北東河17鄰26號(東河國民小學操場旁)"/>
    <s v="原(C1S640)站因擴充為氣象站，於2004/6/1升級為(C0S810)站。本站於2019/3/31起進行儀器汰換，於2019/6/7完成驗收。"/>
    <d v="2004-06-01T00:00:00"/>
    <s v="東河臺東縣"/>
    <x v="0"/>
  </r>
  <r>
    <s v="長濱"/>
    <s v="C0S830"/>
    <n v="23.286799999999999"/>
    <n v="121.41200000000001"/>
    <s v="288m"/>
    <x v="15"/>
    <s v="長濱鄉竹湖村移民橋後方山頂三角點旁"/>
    <s v="原(C1S650)站因擴充為氣象站，於2004/6/1升級為(C0S830)站。本站於2019/3/30起進行儀器汰換，於2019/6/7完成驗收。"/>
    <d v="2004-06-01T00:00:00"/>
    <s v="長濱臺東縣"/>
    <x v="0"/>
  </r>
  <r>
    <s v="南田"/>
    <s v="C0S840"/>
    <n v="22.279699999999998"/>
    <n v="120.8892"/>
    <s v="22m"/>
    <x v="15"/>
    <s v="達仁鄉南田村南田風景區公園對面"/>
    <s v="本站於2019/3/13起進行儀器汰換，於2019/6/7完成驗收。"/>
    <d v="2004-04-12T00:00:00"/>
    <s v="南田臺東縣"/>
    <x v="0"/>
  </r>
  <r>
    <s v="關山"/>
    <s v="C0S890"/>
    <n v="23.0395"/>
    <n v="121.175"/>
    <s v="238m"/>
    <x v="15"/>
    <s v="關山鎮親水公園內"/>
    <s v="本站於2019/3/21起進行儀器汰換，於2019/6/7完成驗收。"/>
    <d v="2015-12-06T00:00:00"/>
    <s v="關山臺東縣"/>
    <x v="2"/>
  </r>
  <r>
    <s v="蘭嶼高中"/>
    <s v="C0S900"/>
    <n v="22.049099999999999"/>
    <n v="121.5121"/>
    <s v="27m"/>
    <x v="15"/>
    <s v="蘭嶼鄉椰油村37號（蘭嶼高中內）"/>
    <m/>
    <d v="2018-10-26T00:00:00"/>
    <s v="蘭嶼高中臺東縣"/>
    <x v="0"/>
  </r>
  <r>
    <s v="蘭嶼燈塔"/>
    <s v="C0S910"/>
    <n v="22.081199999999999"/>
    <n v="121.5031"/>
    <s v="212m"/>
    <x v="15"/>
    <s v="蘭嶼鄉椰油段1-7地號（蘭嶼燈塔旁）"/>
    <m/>
    <d v="2018-10-26T00:00:00"/>
    <s v="蘭嶼燈塔臺東縣"/>
    <x v="0"/>
  </r>
  <r>
    <s v="金峰嘉蘭"/>
    <s v="C0S920"/>
    <n v="22.594799999999999"/>
    <n v="120.96080000000001"/>
    <s v="133m"/>
    <x v="15"/>
    <s v="金峰鄉嘉蘭村12鄰665號(金峰鄉嘉蘭村活動中心)"/>
    <m/>
    <d v="2019-07-05T00:00:00"/>
    <s v="金峰嘉蘭臺東縣"/>
    <x v="0"/>
  </r>
  <r>
    <s v="延平"/>
    <s v="C0S930"/>
    <n v="22.9026"/>
    <n v="121.08410000000001"/>
    <s v="248m"/>
    <x v="15"/>
    <s v="延平鄉昇平路75號(延平消防分隊)"/>
    <m/>
    <d v="2019-07-05T00:00:00"/>
    <s v="延平臺東縣"/>
    <x v="0"/>
  </r>
  <r>
    <s v="石寧山"/>
    <s v="C0S940"/>
    <n v="23.223800000000001"/>
    <n v="121.4066"/>
    <s v="150m"/>
    <x v="15"/>
    <s v="長濱鄉寧埔村石寧山附近山區"/>
    <m/>
    <d v="2019-07-05T00:00:00"/>
    <s v="石寧山臺東縣"/>
    <x v="0"/>
  </r>
  <r>
    <s v="七塊厝"/>
    <s v="C0S950"/>
    <n v="22.954499999999999"/>
    <n v="121.2299"/>
    <s v="415m"/>
    <x v="15"/>
    <s v="東河鄉尚德村七塊厝產業道路附近山區"/>
    <m/>
    <d v="2019-07-05T00:00:00"/>
    <s v="七塊厝臺東縣"/>
    <x v="0"/>
  </r>
  <r>
    <s v="香蘭"/>
    <s v="C0S960"/>
    <n v="22.587599999999998"/>
    <n v="120.99339999999999"/>
    <s v="32m"/>
    <x v="15"/>
    <s v="太麻里鄉香蘭村四鄰28號 (香蘭國小)"/>
    <m/>
    <d v="2019-11-28T00:00:00"/>
    <s v="香蘭臺東縣"/>
    <x v="0"/>
  </r>
  <r>
    <s v="加津林"/>
    <s v="C0S970"/>
    <n v="22.4162"/>
    <n v="120.9269"/>
    <s v="19m"/>
    <x v="15"/>
    <s v="大武鄉大竹村14鄰加津林4號(舊高溪派出所)"/>
    <m/>
    <d v="2019-07-05T00:00:00"/>
    <s v="加津林臺東縣"/>
    <x v="0"/>
  </r>
  <r>
    <s v="勝林山"/>
    <s v="C0S980"/>
    <n v="22.430399999999999"/>
    <n v="120.8938"/>
    <s v="903m"/>
    <x v="15"/>
    <s v="達仁鄉勝林山山頂停機坪旁(與大武鄉交界附近)"/>
    <m/>
    <d v="2019-07-05T00:00:00"/>
    <s v="勝林山臺東縣"/>
    <x v="1"/>
  </r>
  <r>
    <s v="山豬窟"/>
    <s v="C0S990"/>
    <n v="22.3186"/>
    <n v="120.8574"/>
    <s v="409m"/>
    <x v="15"/>
    <s v="大武鄉南興村山豬窟產業道路附近山區(梅園涼亭旁)"/>
    <m/>
    <d v="2019-07-05T00:00:00"/>
    <s v="山豬窟臺東縣"/>
    <x v="0"/>
  </r>
  <r>
    <s v="歷坵"/>
    <s v="C0SA00"/>
    <n v="22.521000000000001"/>
    <n v="120.89190000000001"/>
    <s v="466m"/>
    <x v="15"/>
    <s v="金峰鄉歷坵產業道路附近山區"/>
    <m/>
    <d v="2019-07-05T00:00:00"/>
    <s v="歷坵臺東縣"/>
    <x v="0"/>
  </r>
  <r>
    <s v="檳榔四格山"/>
    <s v="C0SA10"/>
    <n v="22.81"/>
    <n v="121.1093"/>
    <s v="411m"/>
    <x v="15"/>
    <s v="卑南鄉檳榔四格山山頂瞭望臺旁"/>
    <m/>
    <d v="2019-07-05T00:00:00"/>
    <s v="檳榔四格山臺東縣"/>
    <x v="0"/>
  </r>
  <r>
    <s v="金崙山"/>
    <s v="C0SA20"/>
    <n v="22.567399999999999"/>
    <n v="120.9597"/>
    <s v="857m"/>
    <x v="15"/>
    <s v="太麻里鄉富山產業道路附近山區(與金峰鄉交界附近)"/>
    <m/>
    <d v="2019-07-05T00:00:00"/>
    <s v="金崙山臺東縣"/>
    <x v="1"/>
  </r>
  <r>
    <s v="都歷"/>
    <s v="C0SA30"/>
    <n v="23.020299999999999"/>
    <n v="121.3236"/>
    <s v="93m"/>
    <x v="15"/>
    <s v="成功鎮新村路25號(東部海岸國家風景區管理處)"/>
    <m/>
    <d v="2019-07-05T00:00:00"/>
    <s v="都歷臺東縣"/>
    <x v="0"/>
  </r>
  <r>
    <s v="瑞和"/>
    <s v="C0SA40"/>
    <n v="22.974399999999999"/>
    <n v="121.1567"/>
    <s v="200m"/>
    <x v="15"/>
    <s v="鹿野鄉瑞和村瑞景路3段1號(瑞源國中)"/>
    <m/>
    <d v="2019-07-05T00:00:00"/>
    <s v="瑞和臺東縣"/>
    <x v="0"/>
  </r>
  <r>
    <s v="知本（水試所）"/>
    <s v="C0SA60"/>
    <n v="22.702400000000001"/>
    <n v="121.08280000000001"/>
    <s v="11m"/>
    <x v="15"/>
    <s v="臺東市知本路2段291巷299號"/>
    <m/>
    <d v="2020-04-09T00:00:00"/>
    <s v="知本（水試所）臺東縣"/>
    <x v="0"/>
  </r>
  <r>
    <s v="土坂"/>
    <s v="C0SA80"/>
    <n v="22.453099999999999"/>
    <n v="120.88760000000001"/>
    <s v="136m"/>
    <x v="15"/>
    <s v="達仁鄉土坂村1鄰10號(土坂國民小學操場旁)"/>
    <s v="原(C1S620)站因擴充為氣象站，於2019/3/23升級為(C0SA80)站。"/>
    <d v="2019-06-07T00:00:00"/>
    <s v="土坂臺東縣"/>
    <x v="0"/>
  </r>
  <r>
    <s v="達仁林場"/>
    <s v="C0SA90"/>
    <n v="22.264299999999999"/>
    <n v="120.824"/>
    <s v="497m"/>
    <x v="15"/>
    <s v="達仁鄉臺東達五號農路4K處"/>
    <m/>
    <d v="2020-04-09T00:00:00"/>
    <s v="達仁林場臺東縣"/>
    <x v="0"/>
  </r>
  <r>
    <s v="美和"/>
    <s v="C0SB10"/>
    <n v="22.682099999999998"/>
    <n v="121.06019999999999"/>
    <s v="28m"/>
    <x v="15"/>
    <s v="太麻里鄉美和村3鄰28-1號"/>
    <m/>
    <d v="2025-02-05T00:00:00"/>
    <s v="美和臺東縣"/>
    <x v="0"/>
  </r>
  <r>
    <s v="富岡"/>
    <s v="C0SB20"/>
    <n v="22.7925"/>
    <n v="121.1927"/>
    <s v="29m"/>
    <x v="15"/>
    <s v="臺東市富岡街299號"/>
    <m/>
    <d v="2025-02-05T00:00:00"/>
    <s v="富岡臺東縣"/>
    <x v="0"/>
  </r>
  <r>
    <s v="新蘭"/>
    <s v="C0SB30"/>
    <n v="22.869199999999999"/>
    <n v="121.22320000000001"/>
    <s v="60m"/>
    <x v="15"/>
    <s v="東河鄉都蘭村都蘭24之13號"/>
    <m/>
    <d v="2025-02-05T00:00:00"/>
    <s v="新蘭臺東縣"/>
    <x v="0"/>
  </r>
  <r>
    <s v="興隆"/>
    <s v="C0SB40"/>
    <n v="22.913699999999999"/>
    <n v="121.25749999999999"/>
    <s v="65m"/>
    <x v="15"/>
    <s v="東河鄉興昌村29鄰28號"/>
    <m/>
    <d v="2025-02-05T00:00:00"/>
    <s v="興隆臺東縣"/>
    <x v="0"/>
  </r>
  <r>
    <s v="叭嗡嗡"/>
    <s v="C0SB50"/>
    <n v="23.0471"/>
    <n v="121.3432"/>
    <s v="7m"/>
    <x v="15"/>
    <s v="成功鎮豐田路3號"/>
    <m/>
    <d v="2025-02-05T00:00:00"/>
    <s v="叭嗡嗡臺東縣"/>
    <x v="0"/>
  </r>
  <r>
    <s v="白守蓮"/>
    <s v="C0SB60"/>
    <n v="23.126799999999999"/>
    <n v="121.4019"/>
    <s v="20m"/>
    <x v="15"/>
    <s v="成功鎮白蓮路43號"/>
    <m/>
    <d v="2025-02-05T00:00:00"/>
    <s v="白守蓮臺東縣"/>
    <x v="0"/>
  </r>
  <r>
    <s v="小港漁港"/>
    <s v="C0SB70"/>
    <n v="23.1586"/>
    <n v="121.4004"/>
    <s v="28m"/>
    <x v="15"/>
    <s v="成功鎮成廣路9號"/>
    <m/>
    <d v="2025-02-05T00:00:00"/>
    <s v="小港漁港臺東縣"/>
    <x v="0"/>
  </r>
  <r>
    <s v="長濱漁港"/>
    <s v="C0SB80"/>
    <n v="23.313600000000001"/>
    <n v="121.46"/>
    <s v="53m"/>
    <x v="15"/>
    <s v="長濱鄉長濱村15鄰181-2號"/>
    <m/>
    <d v="2025-02-05T00:00:00"/>
    <s v="長濱漁港臺東縣"/>
    <x v="0"/>
  </r>
  <r>
    <s v="大禹嶺"/>
    <s v="C0T790"/>
    <n v="24.1861"/>
    <n v="121.31610000000001"/>
    <s v="2830m"/>
    <x v="16"/>
    <s v="秀林鄉立霧溪事業區67林班地(救國團大禹山莊)"/>
    <m/>
    <d v="1994-11-18T00:00:00"/>
    <s v="大禹嶺花蓮縣"/>
    <x v="1"/>
  </r>
  <r>
    <s v="天祥"/>
    <s v="C0T820"/>
    <n v="24.179600000000001"/>
    <n v="121.4956"/>
    <s v="550m"/>
    <x v="16"/>
    <s v="秀林鄉立霧溪事業區80林班地(天祥祥德寺)"/>
    <s v="本站於2017/9/23起進行儀器汰換，於2017/12/1完成驗收。"/>
    <d v="1995-06-27T00:00:00"/>
    <s v="天祥花蓮縣"/>
    <x v="1"/>
  </r>
  <r>
    <s v="鯉魚潭"/>
    <s v="C0T870"/>
    <n v="23.935600000000001"/>
    <n v="121.5089"/>
    <s v="135m"/>
    <x v="16"/>
    <s v="壽豐鄉池南村池南路一段8號(鯉魚潭風景區旁)"/>
    <s v="本站於2017/4/7起進行儀器汰換，於2017/6/3完成驗收。"/>
    <d v="1995-05-03T00:00:00"/>
    <s v="鯉魚潭花蓮縣"/>
    <x v="0"/>
  </r>
  <r>
    <s v="西林"/>
    <s v="C0T900"/>
    <n v="23.811900000000001"/>
    <n v="121.4415"/>
    <s v="160m"/>
    <x v="16"/>
    <s v="萬榮鄉西林路8鄰114號(西林國民小學運動場旁)"/>
    <s v="原(C1T900)站因擴充為氣象站，於2010/7/1升級為(C0T900)站，2017/4/14起進行儀器汰換，於2017/6/3完成驗收。"/>
    <d v="2010-07-01T00:00:00"/>
    <s v="西林花蓮縣"/>
    <x v="0"/>
  </r>
  <r>
    <s v="光復"/>
    <s v="C0T960"/>
    <n v="23.660699999999999"/>
    <n v="121.425"/>
    <s v="120m"/>
    <x v="16"/>
    <s v="光復鄉大進村糖廠街19號(台糖公司花蓮光復糖廠內)"/>
    <s v="本站於2017/5/3起進行儀器汰換，於2017/6/3完成驗收。"/>
    <d v="1995-05-03T00:00:00"/>
    <s v="光復花蓮縣"/>
    <x v="0"/>
  </r>
  <r>
    <s v="月眉山"/>
    <s v="C0T9A0"/>
    <n v="23.809899999999999"/>
    <n v="121.5398"/>
    <s v="498m"/>
    <x v="16"/>
    <s v="壽豐鄉月眉山旁的小山丘上(過米棧大橋往山上水璉方向至四號橋左轉之山上)"/>
    <s v="本站於2017/5/11起進行儀器汰換，於2017/6/3完成驗收。"/>
    <d v="2000-08-11T00:00:00"/>
    <s v="月眉山花蓮縣"/>
    <x v="0"/>
  </r>
  <r>
    <s v="水源"/>
    <s v="C0T9B0"/>
    <n v="23.991900000000001"/>
    <n v="121.5372"/>
    <s v="558m"/>
    <x v="16"/>
    <s v="秀林鄉原林務局水源段的苗圃內"/>
    <s v="本站於2017/3/27起進行儀器汰換，於2017/6/3完成驗收。"/>
    <d v="2000-08-07T00:00:00"/>
    <s v="水源花蓮縣"/>
    <x v="1"/>
  </r>
  <r>
    <s v="和中"/>
    <s v="C0T9D0"/>
    <n v="24.2668"/>
    <n v="121.741"/>
    <s v="8m"/>
    <x v="16"/>
    <s v="秀林鄉秀林村62號(和平國小和中分校校園內)"/>
    <s v="本站於2017/10/12進行儀器汰換及短距離移位，於2017/12/1完成驗收。"/>
    <d v="2004-04-12T00:00:00"/>
    <s v="和中花蓮縣"/>
    <x v="0"/>
  </r>
  <r>
    <s v="大坑"/>
    <s v="C0T9E0"/>
    <n v="23.880600000000001"/>
    <n v="121.58199999999999"/>
    <s v="415m"/>
    <x v="16"/>
    <s v="壽豐鄉10鄰山嶺80之1號(中華電信公司賀田山機房)旁"/>
    <s v="本站於2017/4/20起進行儀器汰換，於2017/6/3完成驗收。"/>
    <d v="2004-04-08T00:00:00"/>
    <s v="大坑花蓮縣"/>
    <x v="0"/>
  </r>
  <r>
    <s v="水璉"/>
    <s v="C0T9F0"/>
    <n v="23.7971"/>
    <n v="121.5425"/>
    <s v="251m"/>
    <x v="16"/>
    <s v="壽豐鄉水璉村"/>
    <s v="本站於2017/4/27起進行儀器汰換，於2017/6/3完成驗收。"/>
    <d v="2004-04-12T00:00:00"/>
    <s v="水璉花蓮縣"/>
    <x v="0"/>
  </r>
  <r>
    <s v="鳳林山"/>
    <s v="C0T9G0"/>
    <n v="23.735299999999999"/>
    <n v="121.42010000000001"/>
    <s v="605m"/>
    <x v="16"/>
    <s v="鳳林鎮"/>
    <s v="本站於2017/4/6起進行儀器汰換，於2017/6/3完成驗收。"/>
    <d v="2004-04-26T00:00:00"/>
    <s v="鳳林山花蓮縣"/>
    <x v="1"/>
  </r>
  <r>
    <s v="加路蘭山"/>
    <s v="C0T9H0"/>
    <n v="23.6829"/>
    <n v="121.5274"/>
    <s v="725m"/>
    <x v="16"/>
    <s v="豐濱鄉臨海段776-4號"/>
    <s v="本站於2017/4/19起進行儀器汰換，於2017/6/3完成驗收。"/>
    <d v="2004-04-12T00:00:00"/>
    <s v="加路蘭山花蓮縣"/>
    <x v="1"/>
  </r>
  <r>
    <s v="豐濱"/>
    <s v="C0T9I0"/>
    <n v="23.5839"/>
    <n v="121.51479999999999"/>
    <s v="152m"/>
    <x v="16"/>
    <s v="豐濱鄉豐濱村"/>
    <s v="本站於2017/4/25起進行儀器汰換，於2017/6/3完成驗收。"/>
    <d v="2004-04-12T00:00:00"/>
    <s v="豐濱花蓮縣"/>
    <x v="0"/>
  </r>
  <r>
    <s v="靜浦"/>
    <s v="C0T9M0"/>
    <n v="23.455200000000001"/>
    <n v="121.495"/>
    <s v="92m"/>
    <x v="16"/>
    <s v="豐濱鄉靜浦村活動中心後山上"/>
    <s v="原(C0S720)站因縣市代碼不符，於2008/2/25重新編碼為(C0T9M0)站。本站於2019/4/9起進行儀器汰換，於2019/6/7完成驗收。"/>
    <d v="1997-04-30T00:00:00"/>
    <s v="靜浦花蓮縣"/>
    <x v="0"/>
  </r>
  <r>
    <s v="富里"/>
    <s v="C0T9N0"/>
    <n v="23.171600000000002"/>
    <n v="121.24939999999999"/>
    <s v="261m"/>
    <x v="16"/>
    <s v="富里鄉永安街52號(富里國小)"/>
    <m/>
    <d v="2019-07-05T00:00:00"/>
    <s v="富里花蓮縣"/>
    <x v="0"/>
  </r>
  <r>
    <s v="花蓮漁港"/>
    <s v="C0TA10"/>
    <n v="23.9953"/>
    <n v="121.6383"/>
    <s v="17m"/>
    <x v="16"/>
    <s v="花蓮市港濱路41之1號"/>
    <m/>
    <d v="2025-02-05T00:00:00"/>
    <s v="花蓮漁港花蓮縣"/>
    <x v="0"/>
  </r>
  <r>
    <s v="加灣"/>
    <s v="C0TA20"/>
    <n v="24.082000000000001"/>
    <n v="121.60890000000001"/>
    <s v="45m"/>
    <x v="16"/>
    <s v="秀林鄉景美村加灣128-6號"/>
    <m/>
    <d v="2025-02-05T00:00:00"/>
    <s v="加灣花蓮縣"/>
    <x v="0"/>
  </r>
  <r>
    <s v="鹽寮"/>
    <s v="C0TA30"/>
    <n v="23.845600000000001"/>
    <n v="121.59269999999999"/>
    <s v="11m"/>
    <x v="16"/>
    <s v="壽豐鄉鹽寮村"/>
    <m/>
    <d v="2025-02-24T00:00:00"/>
    <s v="鹽寮花蓮縣"/>
    <x v="0"/>
  </r>
  <r>
    <s v="秀林"/>
    <s v="C0TA40"/>
    <n v="24.302900000000001"/>
    <n v="121.7311"/>
    <s v="930m"/>
    <x v="16"/>
    <s v="秀林鄉和平村"/>
    <m/>
    <d v="2025-05-29T00:00:00"/>
    <s v="秀林花蓮縣"/>
    <x v="1"/>
  </r>
  <r>
    <s v="和仁"/>
    <s v="C0TA50"/>
    <n v="24.241399999999999"/>
    <n v="121.71250000000001"/>
    <s v="3m"/>
    <x v="16"/>
    <s v="秀林鄉和平村和仁71號"/>
    <m/>
    <d v="2025-05-29T00:00:00"/>
    <s v="和仁花蓮縣"/>
    <x v="0"/>
  </r>
  <r>
    <s v="立霧山"/>
    <s v="C0TA80"/>
    <n v="24.183299999999999"/>
    <n v="121.64190000000001"/>
    <s v="1108m"/>
    <x v="16"/>
    <s v="秀林鄉富世村352號"/>
    <m/>
    <d v="2025-06-20T00:00:00"/>
    <s v="立霧山花蓮縣"/>
    <x v="1"/>
  </r>
  <r>
    <s v="雙連埤"/>
    <s v="C0U520"/>
    <n v="24.753"/>
    <n v="121.6413"/>
    <s v="517m"/>
    <x v="17"/>
    <s v="員山鄉雙連埤地區(需徒步20分鐘)"/>
    <s v="原(C1U521)站因擴充為氣象站，於2010/7/1升級為(C0U520)站，於2017/12/26進行儀器汰換，於2018/3/23完成驗收。"/>
    <d v="2010-01-01T00:00:00"/>
    <s v="雙連埤宜蘭縣"/>
    <x v="1"/>
  </r>
  <r>
    <s v="礁溪"/>
    <s v="C0U600"/>
    <n v="24.817499999999999"/>
    <n v="121.76560000000001"/>
    <s v="10m"/>
    <x v="17"/>
    <s v="礁溪鄉礁溪路四段23號(礁溪國民中學教室後宿舍旁)"/>
    <s v="本站於2017/11/9進行儀器汰換，於2018/3/23完成驗收。"/>
    <d v="1995-04-26T00:00:00"/>
    <s v="礁溪宜蘭縣"/>
    <x v="0"/>
  </r>
  <r>
    <s v="玉蘭"/>
    <s v="C0U650"/>
    <n v="24.6753"/>
    <n v="121.58710000000001"/>
    <s v="442m"/>
    <x v="17"/>
    <s v="大同鄉松羅村鹿場路11號(往松羅山頂瞭望亭旁)"/>
    <s v="本站於2017/10/9進行儀器汰換，於2017/12/1完成驗收。"/>
    <d v="1995-07-28T00:00:00"/>
    <s v="玉蘭宜蘭縣"/>
    <x v="0"/>
  </r>
  <r>
    <s v="太平山"/>
    <s v="C0U710"/>
    <n v="24.505500000000001"/>
    <n v="121.5257"/>
    <s v="1942m"/>
    <x v="17"/>
    <s v="大同鄉太平山93林班地(林務局路標22.3k處)"/>
    <s v="本站於2017/12/13進行儀器汰換，於2018/3/23完成驗收。"/>
    <d v="1995-05-29T00:00:00"/>
    <s v="太平山宜蘭縣"/>
    <x v="1"/>
  </r>
  <r>
    <s v="南山"/>
    <s v="C0U720"/>
    <n v="24.4374"/>
    <n v="121.3817"/>
    <s v="1260m"/>
    <x v="17"/>
    <s v="大同鄉南山村4鄰埤南巷31-3號(南山國民小學內)"/>
    <s v="原(C1U720)站因擴充為氣象站，於2018/3/23升級為(C0U720)站。"/>
    <d v="2018-03-23T00:00:00"/>
    <s v="南山宜蘭縣"/>
    <x v="1"/>
  </r>
  <r>
    <s v="龜山島"/>
    <s v="C0U750"/>
    <n v="24.841699999999999"/>
    <n v="121.95310000000001"/>
    <s v="398m"/>
    <x v="17"/>
    <s v="頭城鎮龜山島山頂401高地觀景台"/>
    <s v="本站為觀光局所設，交由本署管理。本站於2017/11/24進行儀器汰換，於2018/3/23完成驗收。"/>
    <d v="2002-09-13T00:00:00"/>
    <s v="龜山島宜蘭縣"/>
    <x v="0"/>
  </r>
  <r>
    <s v="東澳"/>
    <s v="C0U760"/>
    <n v="24.521999999999998"/>
    <n v="121.83320000000001"/>
    <s v="22m"/>
    <x v="17"/>
    <s v="南澳鄉東岳村蘇花路三段209號(東澳國小校園內)"/>
    <s v="本站於2017/12/19進行儀器汰換，於2018/3/23完成驗收。"/>
    <d v="2004-04-12T00:00:00"/>
    <s v="東澳宜蘭縣"/>
    <x v="0"/>
  </r>
  <r>
    <s v="南澳"/>
    <s v="C0U770"/>
    <n v="24.449300000000001"/>
    <n v="121.81019999999999"/>
    <s v="5m"/>
    <x v="17"/>
    <s v="南澳鄉中央氣象署地震中心系統維護課之南澳地震站"/>
    <s v="本站於2017/10/27進行儀器汰換，於2017/12/1完成驗收。"/>
    <d v="2005-08-15T00:00:00"/>
    <s v="南澳宜蘭縣"/>
    <x v="0"/>
  </r>
  <r>
    <s v="五結"/>
    <s v="C0U780"/>
    <n v="24.686399999999999"/>
    <n v="121.7979"/>
    <s v="15m"/>
    <x v="17"/>
    <s v="五結鄉五結中路二段88號(五結國小)"/>
    <s v="本站於2017/10/13進行儀器汰換，於2017/12/1完成驗收。"/>
    <d v="2010-04-17T00:00:00"/>
    <s v="五結宜蘭縣"/>
    <x v="0"/>
  </r>
  <r>
    <s v="頭城"/>
    <s v="C0U860"/>
    <n v="24.853200000000001"/>
    <n v="121.8308"/>
    <s v="5m"/>
    <x v="17"/>
    <s v="頭城鎮協天路468號(中華電信頭城海纜站內)"/>
    <s v="原(C1U860)站因移位升氣，於2017/12/1變更為(C0U860)站。"/>
    <d v="2017-12-01T00:00:00"/>
    <s v="頭城宜蘭縣"/>
    <x v="0"/>
  </r>
  <r>
    <s v="大礁溪"/>
    <s v="C0U870"/>
    <n v="24.791"/>
    <n v="121.675"/>
    <s v="474m"/>
    <x v="17"/>
    <s v="礁溪鄉二結村一鄰9-1號(國立宜蘭大學實驗林場)"/>
    <s v="原(C1U610)站因移位升氣，於2017/12/1變更為(C0U870)站。"/>
    <d v="2017-12-01T00:00:00"/>
    <s v="大礁溪宜蘭縣"/>
    <x v="0"/>
  </r>
  <r>
    <s v="北關"/>
    <s v="C0U880"/>
    <n v="24.9072"/>
    <n v="121.8734"/>
    <s v="2m"/>
    <x v="17"/>
    <s v="頭城鎮濱海路三段(北關梗枋漁港北側路邊)"/>
    <s v="原(C1U880)站因擴充為氣象站，於2022/9/19升級為(C0U880)站。"/>
    <d v="2022-09-19T00:00:00"/>
    <s v="北關宜蘭縣"/>
    <x v="0"/>
  </r>
  <r>
    <s v="三星"/>
    <s v="C0U890"/>
    <n v="24.668099999999999"/>
    <n v="121.65300000000001"/>
    <s v="116m"/>
    <x v="17"/>
    <s v="三星鄉月眉街54號(三星國中)"/>
    <s v="原(C1U660)站因移位升氣，於2017/12/1變更為(C0U890)站。"/>
    <d v="2017-12-01T00:00:00"/>
    <s v="三星宜蘭縣"/>
    <x v="0"/>
  </r>
  <r>
    <s v="內城"/>
    <s v="C0U900"/>
    <n v="24.7181"/>
    <n v="121.68770000000001"/>
    <s v="63m"/>
    <x v="17"/>
    <s v="員山鄉內城路545號(內城國民中小學)"/>
    <s v="原(C1U630)站因移位升氣並更名，於2017/12/1變更為(C0U900)站。"/>
    <d v="2017-12-01T00:00:00"/>
    <s v="內城宜蘭縣"/>
    <x v="0"/>
  </r>
  <r>
    <s v="冬山"/>
    <s v="C0U910"/>
    <n v="24.633700000000001"/>
    <n v="121.7937"/>
    <s v="17m"/>
    <x v="17"/>
    <s v="冬山鄉冬山路98-5號(冬山消防分隊)"/>
    <s v="原(C0U680)站因移位，於2017/12/1變更為(C0U910)站。"/>
    <d v="2017-12-01T00:00:00"/>
    <s v="冬山宜蘭縣"/>
    <x v="0"/>
  </r>
  <r>
    <s v="羅東"/>
    <s v="C0U940"/>
    <n v="24.681799999999999"/>
    <n v="121.74930000000001"/>
    <s v="25m"/>
    <x v="17"/>
    <s v="羅東鎮羅東運動公園南側(北成路二段停車場旁自行車道入口)"/>
    <m/>
    <d v="2017-12-01T00:00:00"/>
    <s v="羅東宜蘭縣"/>
    <x v="2"/>
  </r>
  <r>
    <s v="鶯子嶺"/>
    <s v="C0U950"/>
    <n v="24.897500000000001"/>
    <n v="121.7924"/>
    <s v="1012m"/>
    <x v="17"/>
    <s v="頭城鎮鶯子嶺通信站區內"/>
    <m/>
    <d v="2017-12-01T00:00:00"/>
    <s v="鶯子嶺宜蘭縣"/>
    <x v="1"/>
  </r>
  <r>
    <s v="翠峰湖"/>
    <s v="C0U960"/>
    <n v="24.510899999999999"/>
    <n v="121.608"/>
    <s v="1885m"/>
    <x v="17"/>
    <s v="大同鄉太平山翠峰湖停車場木棧道旁"/>
    <m/>
    <d v="2018-03-23T00:00:00"/>
    <s v="翠峰湖宜蘭縣"/>
    <x v="1"/>
  </r>
  <r>
    <s v="大福"/>
    <s v="C0U970"/>
    <n v="24.800599999999999"/>
    <n v="121.8139"/>
    <s v="7m"/>
    <x v="17"/>
    <s v="壯圍鄉大福路一段62巷26號(大福國小)"/>
    <m/>
    <d v="2017-12-01T00:00:00"/>
    <s v="大福宜蘭縣"/>
    <x v="0"/>
  </r>
  <r>
    <s v="坪林石牌"/>
    <s v="C0U980"/>
    <n v="24.864799999999999"/>
    <n v="121.774"/>
    <s v="573m"/>
    <x v="17"/>
    <s v="頭城鎮與新北市坪林區交界附近之國有林班地(位於坪林石牌附近山區)"/>
    <m/>
    <d v="2017-12-01T00:00:00"/>
    <s v="坪林石牌宜蘭縣"/>
    <x v="1"/>
  </r>
  <r>
    <s v="員山"/>
    <s v="C0U990"/>
    <n v="24.744399999999999"/>
    <n v="121.7225"/>
    <s v="31m"/>
    <x v="17"/>
    <s v="員山鄉員山村復興路39號(員山國小)"/>
    <m/>
    <d v="2017-12-01T00:00:00"/>
    <s v="員山宜蘭縣"/>
    <x v="0"/>
  </r>
  <r>
    <s v="土場"/>
    <s v="C0UA00"/>
    <n v="24.576499999999999"/>
    <n v="121.4953"/>
    <s v="392m"/>
    <x v="17"/>
    <s v="大同鄉土場"/>
    <m/>
    <d v="2018-03-23T00:00:00"/>
    <s v="土場宜蘭縣"/>
    <x v="0"/>
  </r>
  <r>
    <s v="鴛鴦湖"/>
    <s v="C0UA10"/>
    <n v="24.590299999999999"/>
    <n v="121.4122"/>
    <s v="1711m"/>
    <x v="17"/>
    <s v="大同鄉100線林道約15K(太平山事業區32林班內，鴛鴦湖工作站旁空地)"/>
    <m/>
    <d v="2018-03-23T00:00:00"/>
    <s v="鴛鴦湖宜蘭縣"/>
    <x v="1"/>
  </r>
  <r>
    <s v="多加屯"/>
    <s v="C0UA20"/>
    <n v="24.368600000000001"/>
    <n v="121.3732"/>
    <s v="2619m"/>
    <x v="17"/>
    <s v="大同鄉南湖大山指標8.4K處(多加屯避難山屋附近)"/>
    <m/>
    <d v="2017-12-28T00:00:00"/>
    <s v="多加屯宜蘭縣"/>
    <x v="1"/>
  </r>
  <r>
    <s v="白嶺"/>
    <s v="C0UA30"/>
    <n v="24.527799999999999"/>
    <n v="121.51900000000001"/>
    <s v="1397m"/>
    <x v="17"/>
    <s v="大同鄉太平山白嶺苗圃內"/>
    <m/>
    <d v="2018-03-23T00:00:00"/>
    <s v="白嶺宜蘭縣"/>
    <x v="1"/>
  </r>
  <r>
    <s v="西德山"/>
    <s v="C0UA40"/>
    <n v="24.560600000000001"/>
    <n v="121.7526"/>
    <s v="1121m"/>
    <x v="17"/>
    <s v="南澳鄉安平坑林道(力霸產業道路)附近山區(南澳事業區28林班內)"/>
    <m/>
    <d v="2018-05-09T00:00:00"/>
    <s v="西德山宜蘭縣"/>
    <x v="1"/>
  </r>
  <r>
    <s v="西帽山"/>
    <s v="C0UA50"/>
    <n v="24.555399999999999"/>
    <n v="121.8026"/>
    <s v="808m"/>
    <x v="17"/>
    <s v="南澳鄉台泥大白山運石道附近山區(羅東事業區96林班內)"/>
    <m/>
    <d v="2018-05-09T00:00:00"/>
    <s v="西帽山宜蘭縣"/>
    <x v="1"/>
  </r>
  <r>
    <s v="樟樹山"/>
    <s v="C0UA60"/>
    <n v="24.413900000000002"/>
    <n v="121.78319999999999"/>
    <s v="566m"/>
    <x v="17"/>
    <s v="南澳鄉武塔村樟樹山附近山區"/>
    <m/>
    <d v="2018-03-23T00:00:00"/>
    <s v="樟樹山宜蘭縣"/>
    <x v="1"/>
  </r>
  <r>
    <s v="桃源谷"/>
    <s v="C0UA70"/>
    <n v="24.962599999999998"/>
    <n v="121.88890000000001"/>
    <s v="547m"/>
    <x v="17"/>
    <s v="頭城鎮及新北市貢寮區交界之桃源谷附近空地"/>
    <m/>
    <d v="2018-03-23T00:00:00"/>
    <s v="桃源谷宜蘭縣"/>
    <x v="1"/>
  </r>
  <r>
    <s v="大溪漁港"/>
    <s v="C0UA80"/>
    <n v="24.941800000000001"/>
    <n v="121.90300000000001"/>
    <s v="10m"/>
    <x v="17"/>
    <s v="頭城鎮大溪里濱海路5段492號(大溪安檢所樓頂)"/>
    <m/>
    <d v="2022-03-09T00:00:00"/>
    <s v="大溪漁港宜蘭縣"/>
    <x v="0"/>
  </r>
  <r>
    <s v="石城"/>
    <s v="C0UA90"/>
    <n v="24.980399999999999"/>
    <n v="121.9512"/>
    <s v="5m"/>
    <x v="17"/>
    <s v="頭城鎮石城路85號(石城執檢站樓頂)"/>
    <m/>
    <d v="2022-03-09T00:00:00"/>
    <s v="石城宜蘭縣"/>
    <x v="0"/>
  </r>
  <r>
    <s v="淡江大學蘭陽校園"/>
    <s v="C0UB00"/>
    <n v="24.8232"/>
    <n v="121.7304"/>
    <s v="379m"/>
    <x v="17"/>
    <s v="礁溪鄉林尾路180號（淡江大學蘭陽校園內）"/>
    <m/>
    <d v="2022-01-05T00:00:00"/>
    <s v="淡江大學蘭陽校園宜蘭縣"/>
    <x v="0"/>
  </r>
  <r>
    <s v="蘇澳"/>
    <s v="C0UB10"/>
    <n v="24.596900000000002"/>
    <n v="121.8571"/>
    <s v="28m"/>
    <x v="17"/>
    <s v="蘇澳鎮港區路1號6樓(蘇澳港行政大樓)"/>
    <s v="原(467060)站於2023/04/01起變更站碼為(C0UB10)站。"/>
    <d v="2023-04-01T00:00:00"/>
    <s v="蘇澳宜蘭縣"/>
    <x v="0"/>
  </r>
  <r>
    <s v="壯圍"/>
    <s v="C0UB20"/>
    <n v="24.735900000000001"/>
    <n v="121.8163"/>
    <s v="30m"/>
    <x v="17"/>
    <s v="壯圍鄉紅葉路69號"/>
    <m/>
    <d v="2022-12-26T00:00:00"/>
    <s v="壯圍宜蘭縣"/>
    <x v="0"/>
  </r>
  <r>
    <s v="明池"/>
    <s v="C0UB60"/>
    <n v="24.650700000000001"/>
    <n v="121.4753"/>
    <s v="1163m"/>
    <x v="17"/>
    <s v="大同鄉明池段45-3地號"/>
    <m/>
    <d v="2025-03-27T00:00:00"/>
    <s v="明池宜蘭縣"/>
    <x v="1"/>
  </r>
  <r>
    <s v="太平山中間站"/>
    <s v="C0UB70"/>
    <n v="24.542000000000002"/>
    <n v="121.51349999999999"/>
    <s v="890m"/>
    <x v="17"/>
    <s v="大同鄉土場段35地號"/>
    <m/>
    <d v="2025-03-27T00:00:00"/>
    <s v="太平山中間站宜蘭縣"/>
    <x v="1"/>
  </r>
  <r>
    <s v="翠峰林道6K"/>
    <s v="C0UB80"/>
    <n v="24.497699999999998"/>
    <n v="121.5686"/>
    <s v="1981m"/>
    <x v="17"/>
    <s v="大同鄉平元段15地號"/>
    <m/>
    <d v="2025-03-27T00:00:00"/>
    <s v="翠峰林道6K宜蘭縣"/>
    <x v="1"/>
  </r>
  <r>
    <s v="太平山莊"/>
    <s v="C0UB90"/>
    <n v="24.494199999999999"/>
    <n v="121.53619999999999"/>
    <s v="1925m"/>
    <x v="17"/>
    <s v="大同鄉太平山段10地號"/>
    <m/>
    <d v="2025-03-27T00:00:00"/>
    <s v="太平山莊宜蘭縣"/>
    <x v="1"/>
  </r>
  <r>
    <s v="復興"/>
    <s v="C0V210"/>
    <n v="23.2224"/>
    <n v="120.8061"/>
    <s v="734m"/>
    <x v="18"/>
    <s v="桃源區復興里復興巷1鄰15號"/>
    <s v="原(C1V210)站因擴充為氣象站，於2013/4/18升級為(C0V210)站。"/>
    <d v="2013-04-18T00:00:00"/>
    <s v="復興高雄市"/>
    <x v="1"/>
  </r>
  <r>
    <s v="溪埔"/>
    <s v="C0V350"/>
    <n v="22.738600000000002"/>
    <n v="120.4468"/>
    <s v="36m"/>
    <x v="18"/>
    <s v="大樹區溪埔里之台29線近83K處"/>
    <s v="原(C1V350)站因擴充為氣象站，於2013/12/1升級為(C0V350)站。"/>
    <d v="2013-12-01T00:00:00"/>
    <s v="溪埔高雄市"/>
    <x v="0"/>
  </r>
  <r>
    <s v="內門"/>
    <s v="C0V360"/>
    <n v="22.9755"/>
    <n v="120.46680000000001"/>
    <s v="94m"/>
    <x v="18"/>
    <s v="內門區木柵里木柵3號（木柵國民小學）"/>
    <s v="原(C1V360)站因擴充為氣象站，於2013/12/1升級為(C0V360)站。"/>
    <d v="2013-12-01T00:00:00"/>
    <s v="內門高雄市"/>
    <x v="0"/>
  </r>
  <r>
    <s v="古亭坑"/>
    <s v="C0V370"/>
    <n v="22.8932"/>
    <n v="120.4019"/>
    <s v="74m"/>
    <x v="18"/>
    <s v="田寮區古亭里"/>
    <s v="本站因儀器汰換，自2013/8/31起暫停資料提供，並於2013/12/1完成驗收。"/>
    <d v="1992-05-01T00:00:00"/>
    <s v="古亭坑高雄市"/>
    <x v="0"/>
  </r>
  <r>
    <s v="阿公店"/>
    <s v="C0V400"/>
    <n v="22.804200000000002"/>
    <n v="120.35550000000001"/>
    <s v="56m"/>
    <x v="18"/>
    <s v="燕巢區西燕里工程路1號（阿公店水庫內）"/>
    <s v="原(C1V400)站因擴充為氣象站，於2013/12/1升級為(C0V400)站。"/>
    <d v="2013-12-01T00:00:00"/>
    <s v="阿公店高雄市"/>
    <x v="0"/>
  </r>
  <r>
    <s v="鳳山"/>
    <s v="C0V440"/>
    <n v="22.646699999999999"/>
    <n v="120.3561"/>
    <s v="27m"/>
    <x v="18"/>
    <s v="鳳山區文山路園藝巷4號（鳳山熱帶園藝試驗分所）"/>
    <s v="原(C1V440)站因移位及擴充為氣象，於2013/12/1升級為(C0V440)站。"/>
    <d v="2013-12-01T00:00:00"/>
    <s v="鳳山高雄市"/>
    <x v="0"/>
  </r>
  <r>
    <s v="鳳森"/>
    <s v="C0V450"/>
    <n v="22.545100000000001"/>
    <n v="120.3926"/>
    <s v="51m"/>
    <x v="18"/>
    <s v="小港區水庫段96-1地號（鳳山給水廠內）"/>
    <s v="原(C1V451)站因擴充為氣象站，於2013/12/1升級為(C0V450)站。於2024/01/08完成儀器汰換"/>
    <d v="2013-12-01T00:00:00"/>
    <s v="鳳森高雄市"/>
    <x v="0"/>
  </r>
  <r>
    <s v="新興"/>
    <s v="C0V490"/>
    <n v="22.627400000000002"/>
    <n v="120.2988"/>
    <s v="20m"/>
    <x v="18"/>
    <s v="新興區大同一路231號(大同國小內5樓頂)"/>
    <s v="本站於2013/9/12起進行儀器汰換，並於2013/12/1完成驗收。於2024/01/08完成儀器汰換。"/>
    <d v="2009-10-13T00:00:00"/>
    <s v="新興高雄市"/>
    <x v="0"/>
  </r>
  <r>
    <s v="阿蓮"/>
    <s v="C0V530"/>
    <n v="22.883199999999999"/>
    <n v="120.3275"/>
    <s v="34m"/>
    <x v="18"/>
    <s v="阿蓮區阿蓮里民生路94號(阿蓮區公所)"/>
    <s v="原(C1V530)站因擴充為氣象站，於2013/8/1升級為(C0V530)站。"/>
    <d v="2013-08-01T00:00:00"/>
    <s v="阿蓮高雄市"/>
    <x v="0"/>
  </r>
  <r>
    <s v="梓官"/>
    <s v="C0V610"/>
    <n v="22.7606"/>
    <n v="120.2672"/>
    <s v="22m"/>
    <x v="18"/>
    <s v="梓官區梓官路258號(梓官區公所)"/>
    <s v="於2024/01/08完成儀器汰換"/>
    <d v="2013-10-01T00:00:00"/>
    <s v="梓官高雄市"/>
    <x v="0"/>
  </r>
  <r>
    <s v="永安"/>
    <s v="C0V620"/>
    <n v="22.8231"/>
    <n v="120.23690000000001"/>
    <s v="18m"/>
    <x v="18"/>
    <s v="永安區永安路32號(永安消防分隊)"/>
    <s v="於2024/01/08完成儀器汰換"/>
    <d v="2013-09-15T00:00:00"/>
    <s v="永安高雄市"/>
    <x v="0"/>
  </r>
  <r>
    <s v="茄萣"/>
    <s v="C0V630"/>
    <n v="22.906600000000001"/>
    <n v="120.18259999999999"/>
    <s v="19m"/>
    <x v="18"/>
    <s v="茄萣區濱海路四段27號(茄萣區公所)"/>
    <m/>
    <d v="2013-09-25T00:00:00"/>
    <s v="茄萣高雄市"/>
    <x v="0"/>
  </r>
  <r>
    <s v="湖內"/>
    <s v="C0V640"/>
    <n v="22.8871"/>
    <n v="120.2445"/>
    <s v="35m"/>
    <x v="18"/>
    <s v="湖內區中山路一段290之1號(湖街派出所)"/>
    <s v="於2024/01/08完成儀器汰換"/>
    <d v="2013-10-03T00:00:00"/>
    <s v="湖內高雄市"/>
    <x v="0"/>
  </r>
  <r>
    <s v="彌陀"/>
    <s v="C0V650"/>
    <n v="22.783799999999999"/>
    <n v="120.24639999999999"/>
    <s v="28m"/>
    <x v="18"/>
    <s v="彌陀區中正北路7號(彌陀消防分隊)"/>
    <m/>
    <d v="2013-09-26T00:00:00"/>
    <s v="彌陀高雄市"/>
    <x v="0"/>
  </r>
  <r>
    <s v="岡山"/>
    <s v="C0V660"/>
    <n v="22.7971"/>
    <n v="120.295"/>
    <s v="25m"/>
    <x v="18"/>
    <s v="岡山區岡山路341號(岡山地政事務所)"/>
    <m/>
    <d v="2013-10-02T00:00:00"/>
    <s v="岡山高雄市"/>
    <x v="0"/>
  </r>
  <r>
    <s v="仁武"/>
    <s v="C0V680"/>
    <n v="22.7011"/>
    <n v="120.3477"/>
    <s v="40m"/>
    <x v="18"/>
    <s v="仁武區中正路133號(仁武區公所)"/>
    <m/>
    <d v="2013-08-16T00:00:00"/>
    <s v="仁武高雄市"/>
    <x v="0"/>
  </r>
  <r>
    <s v="鼓山"/>
    <s v="C0V690"/>
    <n v="22.6233"/>
    <n v="120.2756"/>
    <s v="30m"/>
    <x v="18"/>
    <s v="鼓山區臨海一路61-1號(鼓山消防分隊)"/>
    <m/>
    <d v="2013-09-29T00:00:00"/>
    <s v="鼓山高雄市"/>
    <x v="0"/>
  </r>
  <r>
    <s v="三民"/>
    <s v="C0V700"/>
    <n v="22.645"/>
    <n v="120.3112"/>
    <s v="24m"/>
    <x v="18"/>
    <s v="三民區十全一路88號(十全消防分隊)"/>
    <m/>
    <d v="2013-09-29T00:00:00"/>
    <s v="三民高雄市"/>
    <x v="0"/>
  </r>
  <r>
    <s v="苓雅"/>
    <s v="C0V710"/>
    <n v="22.622699999999998"/>
    <n v="120.33069999999999"/>
    <s v="34m"/>
    <x v="18"/>
    <s v="苓雅區三多一路162號(苓雅消防分隊)"/>
    <m/>
    <d v="2013-10-03T00:00:00"/>
    <s v="苓雅高雄市"/>
    <x v="0"/>
  </r>
  <r>
    <s v="林園"/>
    <s v="C0V720"/>
    <n v="22.5077"/>
    <n v="120.39449999999999"/>
    <s v="15m"/>
    <x v="18"/>
    <s v="林園區林園北路179號(林園區公所)"/>
    <m/>
    <d v="2013-06-13T00:00:00"/>
    <s v="林園高雄市"/>
    <x v="0"/>
  </r>
  <r>
    <s v="大寮"/>
    <s v="C0V730"/>
    <n v="22.605599999999999"/>
    <n v="120.39570000000001"/>
    <s v="33m"/>
    <x v="18"/>
    <s v="大寮區鳳林三路492號(大寮區公所)"/>
    <m/>
    <d v="2013-06-13T00:00:00"/>
    <s v="大寮高雄市"/>
    <x v="0"/>
  </r>
  <r>
    <s v="旗山"/>
    <s v="C0V740"/>
    <n v="22.8886"/>
    <n v="120.4836"/>
    <s v="60m"/>
    <x v="18"/>
    <s v="旗山區延平一路499號(旗山區公所)"/>
    <m/>
    <d v="2013-05-17T00:00:00"/>
    <s v="旗山高雄市"/>
    <x v="2"/>
  </r>
  <r>
    <s v="路竹"/>
    <s v="C0V750"/>
    <n v="22.855"/>
    <n v="120.2594"/>
    <s v="50m"/>
    <x v="18"/>
    <s v="路竹區國昌路76號(路竹區公所)"/>
    <m/>
    <d v="2013-09-24T00:00:00"/>
    <s v="路竹高雄市"/>
    <x v="0"/>
  </r>
  <r>
    <s v="橋頭"/>
    <s v="C0V760"/>
    <n v="22.7578"/>
    <n v="120.3058"/>
    <s v="30m"/>
    <x v="18"/>
    <s v="橋頭區隆豐路1號(橋頭區公所)"/>
    <m/>
    <d v="2013-08-30T00:00:00"/>
    <s v="橋頭高雄市"/>
    <x v="0"/>
  </r>
  <r>
    <s v="大社"/>
    <s v="C0V770"/>
    <n v="22.7303"/>
    <n v="120.3466"/>
    <s v="26m"/>
    <x v="18"/>
    <s v="大社區自強街1號(大社區公所)"/>
    <m/>
    <d v="2013-09-18T00:00:00"/>
    <s v="大社高雄市"/>
    <x v="0"/>
  </r>
  <r>
    <s v="萬山"/>
    <s v="C0V790"/>
    <n v="22.905899999999999"/>
    <n v="120.68810000000001"/>
    <s v="410m"/>
    <x v="18"/>
    <s v="茂林區萬山段710地號"/>
    <m/>
    <d v="2013-10-22T00:00:00"/>
    <s v="萬山高雄市"/>
    <x v="0"/>
  </r>
  <r>
    <s v="六龜"/>
    <s v="C0V800"/>
    <n v="22.997900000000001"/>
    <n v="120.6336"/>
    <s v="256m"/>
    <x v="18"/>
    <s v="六龜區民治路9號(六龜消防隊)"/>
    <m/>
    <d v="2013-10-09T00:00:00"/>
    <s v="六龜高雄市"/>
    <x v="0"/>
  </r>
  <r>
    <s v="左營"/>
    <s v="C0V810"/>
    <n v="22.674900000000001"/>
    <n v="120.28489999999999"/>
    <s v="32m"/>
    <x v="18"/>
    <s v="左營區左營大路1號(高雄市立海青高級工商職業學校資訊大樓樓頂)"/>
    <s v="於2024/01/08完成儀器汰換"/>
    <d v="2015-09-09T00:00:00"/>
    <s v="左營高雄市"/>
    <x v="0"/>
  </r>
  <r>
    <s v="小林"/>
    <s v="C0V820"/>
    <n v="23.148399999999999"/>
    <n v="120.63330000000001"/>
    <s v="441m"/>
    <x v="18"/>
    <s v="甲仙區五里路24-2號（小林國小）"/>
    <m/>
    <d v="2018-12-20T00:00:00"/>
    <s v="小林高雄市"/>
    <x v="0"/>
  </r>
  <r>
    <s v="鳳鼻頭"/>
    <s v="C0V840"/>
    <n v="22.508299999999998"/>
    <n v="120.3591"/>
    <s v="35m"/>
    <x v="18"/>
    <s v="小港區南星路107號"/>
    <m/>
    <d v="2022-12-26T00:00:00"/>
    <s v="鳳鼻頭高雄市"/>
    <x v="0"/>
  </r>
  <r>
    <s v="蚵仔寮"/>
    <s v="C0V850"/>
    <n v="22.7256"/>
    <n v="120.2527"/>
    <s v="22m"/>
    <x v="18"/>
    <s v="梓官區信蚵里廣澤路100號"/>
    <m/>
    <d v="2022-12-26T00:00:00"/>
    <s v="蚵仔寮高雄市"/>
    <x v="0"/>
  </r>
  <r>
    <s v="南寮"/>
    <s v="C0V860"/>
    <n v="22.761600000000001"/>
    <n v="120.23390000000001"/>
    <s v="10m"/>
    <x v="18"/>
    <s v="彌陀區南寮里漁港1街62號"/>
    <m/>
    <d v="2022-12-26T00:00:00"/>
    <s v="南寮高雄市"/>
    <x v="0"/>
  </r>
  <r>
    <s v="文安"/>
    <s v="C0V870"/>
    <n v="22.802499999999998"/>
    <n v="120.21639999999999"/>
    <s v="23m"/>
    <x v="18"/>
    <s v="彌陀區舊港橫路87號"/>
    <m/>
    <d v="2022-12-26T00:00:00"/>
    <s v="文安高雄市"/>
    <x v="0"/>
  </r>
  <r>
    <s v="興達"/>
    <s v="C0V880"/>
    <n v="22.877800000000001"/>
    <n v="120.2127"/>
    <s v="19m"/>
    <x v="18"/>
    <s v="茄萣區順漁路100號"/>
    <m/>
    <d v="2022-12-26T00:00:00"/>
    <s v="興達高雄市"/>
    <x v="0"/>
  </r>
  <r>
    <s v="前鎮"/>
    <s v="C0V890"/>
    <n v="22.5718"/>
    <n v="120.3117"/>
    <s v="25m"/>
    <x v="18"/>
    <s v="前鎮區漁港北二路5號"/>
    <m/>
    <d v="2022-12-26T00:00:00"/>
    <s v="前鎮高雄市"/>
    <x v="0"/>
  </r>
  <r>
    <s v="汕尾"/>
    <s v="C0V900"/>
    <n v="22.478200000000001"/>
    <n v="120.4151"/>
    <s v="6m"/>
    <x v="18"/>
    <s v="林園區"/>
    <m/>
    <d v="2022-12-26T00:00:00"/>
    <s v="汕尾高雄市"/>
    <x v="0"/>
  </r>
  <r>
    <s v="大樹"/>
    <s v="C0V910"/>
    <n v="22.6846"/>
    <n v="120.4328"/>
    <s v="50m"/>
    <x v="18"/>
    <s v="大樹區中正一路188號"/>
    <m/>
    <d v="2025-02-05T00:00:00"/>
    <s v="大樹高雄市"/>
    <x v="0"/>
  </r>
  <r>
    <s v="東莒"/>
    <s v="C0W110"/>
    <n v="25.965199999999999"/>
    <n v="119.9807"/>
    <s v="16m"/>
    <x v="19"/>
    <s v="莒光鄉福正村1號(福正抽水機房，莒光遊客中心後方)"/>
    <m/>
    <d v="2016-04-11T00:00:00"/>
    <s v="東莒連江縣"/>
    <x v="2"/>
  </r>
  <r>
    <s v="西嶼"/>
    <s v="C0W120"/>
    <n v="23.5626"/>
    <n v="119.4684"/>
    <s v="58m"/>
    <x v="20"/>
    <s v="西嶼鄉195號(西嶼燈塔西方)"/>
    <m/>
    <d v="2016-04-19T00:00:00"/>
    <s v="西嶼澎湖縣"/>
    <x v="0"/>
  </r>
  <r>
    <s v="花嶼"/>
    <s v="C0W130"/>
    <n v="23.400099999999998"/>
    <n v="119.3228"/>
    <s v="18m"/>
    <x v="20"/>
    <s v="望安鄉花嶼村2號(花嶼國民小學)"/>
    <m/>
    <d v="2016-04-16T00:00:00"/>
    <s v="花嶼澎湖縣"/>
    <x v="2"/>
  </r>
  <r>
    <s v="金沙"/>
    <s v="C0W140"/>
    <n v="24.488299999999999"/>
    <n v="118.4088"/>
    <s v="21m"/>
    <x v="21"/>
    <s v="金沙鎮環島北路四段465號(金門縣自來水廠榮湖淨水場)"/>
    <m/>
    <d v="2016-08-16T00:00:00"/>
    <s v="金沙金門縣"/>
    <x v="0"/>
  </r>
  <r>
    <s v="金寧"/>
    <s v="C0W150"/>
    <n v="24.457699999999999"/>
    <n v="118.32899999999999"/>
    <s v="42m"/>
    <x v="21"/>
    <s v="金寧鄉頂林路315號(金門縣消防局)"/>
    <m/>
    <d v="2016-08-16T00:00:00"/>
    <s v="金寧金門縣"/>
    <x v="2"/>
  </r>
  <r>
    <s v="烏坵"/>
    <s v="C0W160"/>
    <n v="24.994399999999999"/>
    <n v="119.4496"/>
    <s v="49m"/>
    <x v="21"/>
    <s v="烏坵鄉"/>
    <m/>
    <d v="2016-08-17T00:00:00"/>
    <s v="烏坵金門縣"/>
    <x v="0"/>
  </r>
  <r>
    <s v="七美"/>
    <s v="C0W180"/>
    <n v="23.2193"/>
    <n v="119.4449"/>
    <s v="29m"/>
    <x v="20"/>
    <s v="雙心石滬風景區"/>
    <m/>
    <d v="2024-01-08T00:00:00"/>
    <s v="七美澎湖縣"/>
    <x v="0"/>
  </r>
  <r>
    <s v="望安"/>
    <s v="C0W190"/>
    <n v="23.380600000000001"/>
    <n v="119.4941"/>
    <s v="52m"/>
    <x v="20"/>
    <s v="天台山風景區"/>
    <m/>
    <d v="2024-01-08T00:00:00"/>
    <s v="望安澎湖縣"/>
    <x v="0"/>
  </r>
  <r>
    <s v="湖西"/>
    <s v="C0W200"/>
    <n v="23.596299999999999"/>
    <n v="119.67270000000001"/>
    <s v="18m"/>
    <x v="20"/>
    <s v="摩西分海風景區"/>
    <m/>
    <d v="2024-01-08T00:00:00"/>
    <s v="湖西澎湖縣"/>
    <x v="0"/>
  </r>
  <r>
    <s v="北竿"/>
    <s v="C0W220"/>
    <n v="26.220400000000001"/>
    <n v="119.97490000000001"/>
    <s v="40m"/>
    <x v="19"/>
    <s v="北竿鄉坂里村1-1號"/>
    <m/>
    <d v="2024-01-08T00:00:00"/>
    <s v="北竿連江縣"/>
    <x v="0"/>
  </r>
  <r>
    <s v="九宮"/>
    <s v="C0W240"/>
    <n v="24.4238"/>
    <n v="118.2402"/>
    <s v="52m"/>
    <x v="21"/>
    <s v="烈嶼鄉南塘1之27號"/>
    <m/>
    <d v="2025-02-05T00:00:00"/>
    <s v="九宮金門縣"/>
    <x v="0"/>
  </r>
  <r>
    <s v="東河"/>
    <s v="C0X050"/>
    <n v="23.296600000000002"/>
    <n v="120.3856"/>
    <s v="25m"/>
    <x v="13"/>
    <s v="東山區東河里54號(東河水利工作站)"/>
    <s v="原(C1X050)站因擴充為氣象站及移位，於2015/7/1升級為(C0X050)站。"/>
    <d v="2015-07-01T00:00:00"/>
    <s v="東河臺南市"/>
    <x v="0"/>
  </r>
  <r>
    <s v="佳里"/>
    <s v="C0X080"/>
    <n v="23.172999999999998"/>
    <n v="120.1451"/>
    <s v="2m"/>
    <x v="13"/>
    <s v="佳里區西方之埔尾，近七股區之篤加"/>
    <s v="本站於2015/5/11起進行儀器汰換，並於2015/7/1完成驗收。"/>
    <d v="1992-12-09T00:00:00"/>
    <s v="佳里臺南市"/>
    <x v="0"/>
  </r>
  <r>
    <s v="臺南市北區"/>
    <s v="C0X100"/>
    <n v="23.010400000000001"/>
    <n v="120.1942"/>
    <s v="10m"/>
    <x v="13"/>
    <s v="北區文賢路678號(和緯消防分隊)"/>
    <m/>
    <d v="2013-02-20T00:00:00"/>
    <s v="臺南市北區臺南市"/>
    <x v="0"/>
  </r>
  <r>
    <s v="臺南市南區"/>
    <s v="C0X110"/>
    <n v="22.961200000000002"/>
    <n v="120.1884"/>
    <s v="20m"/>
    <x v="13"/>
    <s v="南區明興路2號(南區區公所)"/>
    <m/>
    <d v="2013-02-20T00:00:00"/>
    <s v="臺南市南區臺南市"/>
    <x v="0"/>
  </r>
  <r>
    <s v="麻豆"/>
    <s v="C0X120"/>
    <n v="23.183299999999999"/>
    <n v="120.2486"/>
    <s v="28m"/>
    <x v="13"/>
    <s v="麻豆區興國路9號(麻豆消防分隊5樓頂)"/>
    <m/>
    <d v="2013-03-09T00:00:00"/>
    <s v="麻豆臺南市"/>
    <x v="0"/>
  </r>
  <r>
    <s v="官田"/>
    <s v="C0X130"/>
    <n v="23.193200000000001"/>
    <n v="120.3154"/>
    <s v="27m"/>
    <x v="13"/>
    <s v="官田區中山路一段132號(官田區公所)"/>
    <m/>
    <d v="2013-03-01T00:00:00"/>
    <s v="官田臺南市"/>
    <x v="0"/>
  </r>
  <r>
    <s v="西港"/>
    <s v="C0X140"/>
    <n v="23.125599999999999"/>
    <n v="120.20310000000001"/>
    <s v="17m"/>
    <x v="13"/>
    <s v="西港區中山路450號(西港消防分隊4樓頂)"/>
    <m/>
    <d v="2013-03-01T00:00:00"/>
    <s v="西港臺南市"/>
    <x v="0"/>
  </r>
  <r>
    <s v="安定"/>
    <s v="C0X150"/>
    <n v="23.102599999999999"/>
    <n v="120.2278"/>
    <s v="18m"/>
    <x v="13"/>
    <s v="安定區南安里33-11號(安定消防分隊)"/>
    <m/>
    <d v="2013-03-15T00:00:00"/>
    <s v="安定臺南市"/>
    <x v="0"/>
  </r>
  <r>
    <s v="仁德"/>
    <s v="C0X160"/>
    <n v="22.968299999999999"/>
    <n v="120.2577"/>
    <s v="26m"/>
    <x v="13"/>
    <s v="仁德區仁義路432號(仁德消防分隊)"/>
    <m/>
    <d v="2013-02-28T00:00:00"/>
    <s v="仁德臺南市"/>
    <x v="0"/>
  </r>
  <r>
    <s v="關廟"/>
    <s v="C0X170"/>
    <n v="22.963000000000001"/>
    <n v="120.3278"/>
    <s v="50m"/>
    <x v="13"/>
    <s v="關廟區中正路998號(關廟區公所3樓頂)"/>
    <m/>
    <d v="2013-05-09T00:00:00"/>
    <s v="關廟臺南市"/>
    <x v="0"/>
  </r>
  <r>
    <s v="山上"/>
    <s v="C0X180"/>
    <n v="23.075700000000001"/>
    <n v="120.3633"/>
    <s v="62m"/>
    <x v="13"/>
    <s v="山上區豐德里隙子口5之1號(中油豐德供油中心2樓頂)"/>
    <m/>
    <d v="2013-03-15T00:00:00"/>
    <s v="山上臺南市"/>
    <x v="0"/>
  </r>
  <r>
    <s v="安平"/>
    <s v="C0X190"/>
    <n v="22.993200000000002"/>
    <n v="120.15219999999999"/>
    <s v="10m"/>
    <x v="13"/>
    <s v="安平區城平路2號(台江國家公園管理處)"/>
    <m/>
    <d v="2013-02-21T00:00:00"/>
    <s v="安平臺南市"/>
    <x v="0"/>
  </r>
  <r>
    <s v="左鎮"/>
    <s v="C0X200"/>
    <n v="23.056799999999999"/>
    <n v="120.4085"/>
    <s v="61m"/>
    <x v="13"/>
    <s v="左鎮區中正里171號之4(左鎮區公所)"/>
    <s v="2016/10/18因公所施工暫時無法提供資料，2017/1/24完工。"/>
    <d v="2013-03-07T00:00:00"/>
    <s v="左鎮臺南市"/>
    <x v="0"/>
  </r>
  <r>
    <s v="白河"/>
    <s v="C0X210"/>
    <n v="23.3475"/>
    <n v="120.4144"/>
    <s v="38m"/>
    <x v="13"/>
    <s v="白河區中山路6號(白河消防分隊)"/>
    <m/>
    <d v="2015-04-08T00:00:00"/>
    <s v="白河臺南市"/>
    <x v="0"/>
  </r>
  <r>
    <s v="學甲"/>
    <s v="C0X220"/>
    <n v="23.230399999999999"/>
    <n v="120.18219999999999"/>
    <s v="26m"/>
    <x v="13"/>
    <s v="學甲區華宗路313號(學甲區公所)"/>
    <m/>
    <d v="2015-05-18T00:00:00"/>
    <s v="學甲臺南市"/>
    <x v="0"/>
  </r>
  <r>
    <s v="鹽水"/>
    <s v="C0X230"/>
    <n v="23.272600000000001"/>
    <n v="120.24760000000001"/>
    <s v="29m"/>
    <x v="13"/>
    <s v="鹽水區竹埔里1號(竹埔派出所)"/>
    <m/>
    <d v="2015-04-15T00:00:00"/>
    <s v="鹽水臺南市"/>
    <x v="0"/>
  </r>
  <r>
    <s v="關子嶺"/>
    <s v="C0X240"/>
    <n v="23.331199999999999"/>
    <n v="120.508"/>
    <s v="394m"/>
    <x v="13"/>
    <s v="白河區關嶺里94-3號(仙草國小關嶺分校)"/>
    <s v="於2015/12/8短距離移位。本站於2015/11/23起進行儀器汰換，並於2015/12/8完成驗收。"/>
    <d v="2015-04-12T00:00:00"/>
    <s v="關子嶺臺南市"/>
    <x v="0"/>
  </r>
  <r>
    <s v="新營"/>
    <s v="C0X250"/>
    <n v="23.310700000000001"/>
    <n v="120.3167"/>
    <s v="33m"/>
    <x v="13"/>
    <s v="新營區中正路30號(南瀛親子館)"/>
    <m/>
    <d v="2015-04-10T00:00:00"/>
    <s v="新營臺南市"/>
    <x v="0"/>
  </r>
  <r>
    <s v="後壁"/>
    <s v="C0X260"/>
    <n v="23.366399999999999"/>
    <n v="120.3623"/>
    <s v="39m"/>
    <x v="13"/>
    <s v="後壁區後壁里129號(後壁圖書館)"/>
    <m/>
    <d v="2015-04-09T00:00:00"/>
    <s v="後壁臺南市"/>
    <x v="0"/>
  </r>
  <r>
    <s v="將軍"/>
    <s v="C0X280"/>
    <n v="23.215"/>
    <n v="120.1358"/>
    <s v="22m"/>
    <x v="13"/>
    <s v="將軍區將貴里58號(將軍國小)"/>
    <m/>
    <d v="2015-04-15T00:00:00"/>
    <s v="將軍臺南市"/>
    <x v="0"/>
  </r>
  <r>
    <s v="北門"/>
    <s v="C0X290"/>
    <n v="23.267800000000001"/>
    <n v="120.1255"/>
    <s v="10m"/>
    <x v="13"/>
    <s v="北門區北門里舊埕108號(北門區公所)"/>
    <m/>
    <d v="2015-07-22T00:00:00"/>
    <s v="北門臺南市"/>
    <x v="0"/>
  </r>
  <r>
    <s v="鹿寮"/>
    <s v="C0X300"/>
    <n v="23.385999999999999"/>
    <n v="120.4773"/>
    <s v="70m"/>
    <x v="13"/>
    <s v="白河區崎內里12號(鹿寮水庫)"/>
    <m/>
    <d v="2015-10-28T00:00:00"/>
    <s v="鹿寮臺南市"/>
    <x v="0"/>
  </r>
  <r>
    <s v="柳營"/>
    <s v="C0X320"/>
    <n v="23.253299999999999"/>
    <n v="120.3753"/>
    <s v="30m"/>
    <x v="13"/>
    <s v="柳營區國道3號北上324.7K處"/>
    <m/>
    <d v="2020-02-05T00:00:00"/>
    <s v="柳營臺南市"/>
    <x v="0"/>
  </r>
  <r>
    <s v="明里"/>
    <s v="C0Z020"/>
    <n v="23.2087"/>
    <n v="121.2623"/>
    <s v="211m"/>
    <x v="16"/>
    <s v="富里鄉明里村明里社區後方山上"/>
    <s v="原(C1Z020)站因擴充為氣象站，於2010/7/1升級為(C0Z020)站。本站於2017/8/29起進行儀器汰換，於2017/12/1完成驗收。"/>
    <d v="2010-07-01T00:00:00"/>
    <s v="明里花蓮縣"/>
    <x v="0"/>
  </r>
  <r>
    <s v="佳心"/>
    <s v="C0Z050"/>
    <n v="23.345700000000001"/>
    <n v="121.2132"/>
    <s v="824m"/>
    <x v="16"/>
    <s v="卓溪鄉佳心(玉山國家公園內，距花蓮卓溪鄉南安遊客步行2.5時之日據時代派出所舊址)"/>
    <s v="本站於2017/9/3起進行儀器汰換，於2017/12/1完成驗收。"/>
    <d v="1997-04-24T00:00:00"/>
    <s v="佳心花蓮縣"/>
    <x v="1"/>
  </r>
  <r>
    <s v="玉里"/>
    <s v="C0Z061"/>
    <n v="23.3215"/>
    <n v="121.33969999999999"/>
    <s v="174m"/>
    <x v="16"/>
    <s v="玉里鎮樂合里新民41號(樂合國小)"/>
    <s v="原(C0Z060)站因移位，於2008/2/20更變為(C0Z061)站。本站於2017/8/17起進行儀器汰換，於2017/12/1完成驗收。"/>
    <d v="2008-02-20T00:00:00"/>
    <s v="玉里花蓮縣"/>
    <x v="2"/>
  </r>
  <r>
    <s v="舞鶴"/>
    <s v="C0Z070"/>
    <n v="23.4681"/>
    <n v="121.3741"/>
    <s v="247m"/>
    <x v="16"/>
    <s v="瑞穗鄉舞鶴村加納納山三角點旁"/>
    <s v="本站於2017/6/21起進行儀器汰換，於2017/12/1完成驗收。"/>
    <d v="1997-04-17T00:00:00"/>
    <s v="舞鶴花蓮縣"/>
    <x v="0"/>
  </r>
  <r>
    <s v="富源"/>
    <s v="C0Z080"/>
    <n v="23.587599999999998"/>
    <n v="121.37820000000001"/>
    <s v="298m"/>
    <x v="16"/>
    <s v="光復鄉大豐村9鄰265號(富源國中對面之半山腰上)"/>
    <s v="本站於2017/6/19起進行儀器汰換，於2017/12/1完成驗收。"/>
    <d v="2011-10-24T00:00:00"/>
    <s v="富源花蓮縣"/>
    <x v="0"/>
  </r>
  <r>
    <s v="東華"/>
    <s v="C0Z100"/>
    <n v="23.895299999999999"/>
    <n v="121.5498"/>
    <s v="36m"/>
    <x v="16"/>
    <s v="壽豐鄉大學路二段1號（國立東華大學）"/>
    <s v="本站於2017/3/29起進行儀器汰換，於2017/6/3完成驗收。"/>
    <d v="2013-11-27T00:00:00"/>
    <s v="東華花蓮縣"/>
    <x v="0"/>
  </r>
  <r>
    <s v="吉安光華"/>
    <s v="C0Z150"/>
    <n v="23.930900000000001"/>
    <n v="121.59520000000001"/>
    <s v="27m"/>
    <x v="16"/>
    <s v="吉安鄉南濱路一段531號(水資源回收中心)"/>
    <m/>
    <d v="2017-06-03T00:00:00"/>
    <s v="吉安光華花蓮縣"/>
    <x v="0"/>
  </r>
  <r>
    <s v="鳳林"/>
    <s v="C0Z160"/>
    <n v="23.746099999999998"/>
    <n v="121.4534"/>
    <s v="124m"/>
    <x v="16"/>
    <s v="鳳林鎮信義路200號(鳳林地政事務所)"/>
    <s v="原(C1T930)站因移位及升級，於2017/6/3升級為(C0Z120)站。"/>
    <d v="2017-06-03T00:00:00"/>
    <s v="鳳林花蓮縣"/>
    <x v="0"/>
  </r>
  <r>
    <s v="卓溪"/>
    <s v="C0Z170"/>
    <n v="23.3443"/>
    <n v="121.30289999999999"/>
    <s v="194m"/>
    <x v="16"/>
    <s v="卓溪鄉卓溪村中正67號(花蓮縣卓溪鄉公所樓頂)"/>
    <s v="原(C1Z010)站因移位升級，於2017/12/1變更為(C0Z170)站。 2022/11/22舊站遷移(舊地址為卓溪鄉卓溪村中正路65-5號)，站碼不變，並於2022/12/20開始接續提供資料。"/>
    <d v="2022-11-22T00:00:00"/>
    <s v="卓溪花蓮縣"/>
    <x v="0"/>
  </r>
  <r>
    <s v="新城"/>
    <s v="C0Z180"/>
    <n v="24.040500000000002"/>
    <n v="121.6049"/>
    <s v="37m"/>
    <x v="16"/>
    <s v="新城鄉大漢村大安街1號(新城鄉原住民多功能活動中心)"/>
    <s v="原(C0T841)站因移位，於2017/12/1更變為(C0Z180)站。(C0Z180)站於2025/02/07從新城鄉公所遷移至新城鄉原住民多功能活動中心(約120公尺)，並於2025/04/07啟用。"/>
    <d v="2017-12-01T00:00:00"/>
    <s v="新城花蓮縣"/>
    <x v="0"/>
  </r>
  <r>
    <s v="富世"/>
    <s v="C0Z190"/>
    <n v="24.147400000000001"/>
    <n v="121.6297"/>
    <s v="62m"/>
    <x v="16"/>
    <s v="秀林鄉富世村127號(富世國小校園內)"/>
    <s v="原(C0T9C0)站因移位，於2017/12/1變更為(C0Z190)站。"/>
    <d v="2017-12-01T00:00:00"/>
    <s v="富世花蓮縣"/>
    <x v="0"/>
  </r>
  <r>
    <s v="萬榮"/>
    <s v="C0Z200"/>
    <n v="23.709199999999999"/>
    <n v="121.42010000000001"/>
    <s v="153m"/>
    <x v="16"/>
    <s v="鳳林鎮長橋里長橋路2號(長橋國小)"/>
    <m/>
    <d v="2017-06-03T00:00:00"/>
    <s v="萬榮花蓮縣"/>
    <x v="0"/>
  </r>
  <r>
    <s v="瑞穗"/>
    <s v="C0Z210"/>
    <n v="23.523900000000001"/>
    <n v="121.39019999999999"/>
    <s v="126m"/>
    <x v="16"/>
    <s v="瑞穗鄉鶴岡村167號(鶴岡國小)"/>
    <m/>
    <d v="2017-12-01T00:00:00"/>
    <s v="瑞穗花蓮縣"/>
    <x v="0"/>
  </r>
  <r>
    <s v="和平林道"/>
    <s v="C0Z220"/>
    <n v="24.343900000000001"/>
    <n v="121.6563"/>
    <s v="589m"/>
    <x v="16"/>
    <s v="秀林鄉臺電公司東部發電廠碧海機組廠區內(進入管制哨約7公里處)"/>
    <m/>
    <d v="2018-03-23T00:00:00"/>
    <s v="和平林道花蓮縣"/>
    <x v="1"/>
  </r>
  <r>
    <s v="和平"/>
    <s v="C0Z230"/>
    <n v="24.307200000000002"/>
    <n v="121.7701"/>
    <s v="31m"/>
    <x v="16"/>
    <s v="秀林鄉克來寶段399地號(和平工業港安檢所綠洲分隊)"/>
    <m/>
    <d v="2017-12-01T00:00:00"/>
    <s v="和平花蓮縣"/>
    <x v="0"/>
  </r>
  <r>
    <s v="瑞穗林道"/>
    <s v="C0Z250"/>
    <n v="23.492799999999999"/>
    <n v="121.3069"/>
    <s v="1124m"/>
    <x v="16"/>
    <s v="卓溪鄉瑞穗林道約7.5K瑞欣礦區下方空地"/>
    <m/>
    <d v="2017-12-01T00:00:00"/>
    <s v="瑞穗林道花蓮縣"/>
    <x v="1"/>
  </r>
  <r>
    <s v="蕃薯寮"/>
    <s v="C0Z270"/>
    <n v="23.738399999999999"/>
    <n v="121.5401"/>
    <s v="343m"/>
    <x v="16"/>
    <s v="壽豐鄉水璉村蕃薯寮附近山區道路旁(牛山段607地號內)"/>
    <m/>
    <d v="2017-06-03T00:00:00"/>
    <s v="蕃薯寮花蓮縣"/>
    <x v="0"/>
  </r>
  <r>
    <s v="德武"/>
    <s v="C0Z280"/>
    <n v="23.474299999999999"/>
    <n v="121.41070000000001"/>
    <s v="224m"/>
    <x v="16"/>
    <s v="玉里鎮德武里附近山區道路旁(德武段680地號內)"/>
    <m/>
    <d v="2017-12-01T00:00:00"/>
    <s v="德武花蓮縣"/>
    <x v="0"/>
  </r>
  <r>
    <s v="赤柯山"/>
    <s v="C0Z290"/>
    <n v="23.3689"/>
    <n v="121.38290000000001"/>
    <s v="946m"/>
    <x v="16"/>
    <s v="玉里鎮赤柯山段338地號"/>
    <m/>
    <d v="2017-12-01T00:00:00"/>
    <s v="赤柯山花蓮縣"/>
    <x v="1"/>
  </r>
  <r>
    <s v="東里"/>
    <s v="C0Z300"/>
    <n v="23.2685"/>
    <n v="121.30549999999999"/>
    <s v="182m"/>
    <x v="16"/>
    <s v="富里鄉東里村大莊路52號(東里消防分隊)"/>
    <m/>
    <d v="2017-12-01T00:00:00"/>
    <s v="東里花蓮縣"/>
    <x v="0"/>
  </r>
  <r>
    <s v="清水斷崖"/>
    <s v="C0Z310"/>
    <n v="24.218299999999999"/>
    <n v="121.6891"/>
    <s v="59m"/>
    <x v="16"/>
    <s v="秀林鄉臺9線大清水遊憩區下方空地"/>
    <m/>
    <d v="2018-03-23T00:00:00"/>
    <s v="清水斷崖花蓮縣"/>
    <x v="0"/>
  </r>
  <r>
    <s v="清水林道"/>
    <s v="C0Z320"/>
    <n v="23.2712"/>
    <n v="121.1883"/>
    <s v="646m"/>
    <x v="16"/>
    <s v="卓溪鄉清水林道北側山區(新生段1地號)"/>
    <m/>
    <d v="2018-05-09T00:00:00"/>
    <s v="清水林道花蓮縣"/>
    <x v="1"/>
  </r>
  <r>
    <s v="安通山"/>
    <s v="C0Z330"/>
    <n v="23.290700000000001"/>
    <n v="121.3485"/>
    <s v="488m"/>
    <x v="16"/>
    <s v="玉里鎮安通產業道路附近山區"/>
    <m/>
    <d v="2018-05-09T00:00:00"/>
    <s v="安通山花蓮縣"/>
    <x v="0"/>
  </r>
  <r>
    <s v="東引"/>
    <s v="CAW010"/>
    <n v="26.358799999999999"/>
    <n v="120.4836"/>
    <s v="42m"/>
    <x v="19"/>
    <s v="東引鄉(東引候機室旁)"/>
    <m/>
    <d v="2022-02-18T00:00:00"/>
    <s v="東引連江縣"/>
    <x v="0"/>
  </r>
  <r>
    <s v="南化 (撤銷站)"/>
    <s v="C0O890"/>
    <n v="23.0427"/>
    <n v="120.48860000000001"/>
    <s v="167m"/>
    <x v="13"/>
    <s v="南化區"/>
    <m/>
    <d v="1992-05-01T00:00:00"/>
    <s v="南化 (撤銷站)臺南市"/>
    <x v="0"/>
  </r>
  <r>
    <s v="中興新村 (撤銷站)"/>
    <s v="C0H980"/>
    <n v="23.936299999999999"/>
    <n v="120.99509999999999"/>
    <s v="83m"/>
    <x v="9"/>
    <s v="南投市中興新村"/>
    <m/>
    <d v="1992-01-23T00:00:00"/>
    <s v="中興新村 (撤銷站)南投縣"/>
    <x v="0"/>
  </r>
  <r>
    <s v="牡丹 (撤銷站)"/>
    <s v="C0R340"/>
    <n v="22.192399999999999"/>
    <n v="120.8378"/>
    <s v="285m"/>
    <x v="14"/>
    <s v="牡丹鄉牡丹國民小學"/>
    <s v="原(C0R340)站於1999/4/12變更為(C1R340)站。"/>
    <d v="1997-05-08T00:00:00"/>
    <s v="牡丹 (撤銷站)屏東縣"/>
    <x v="0"/>
  </r>
  <r>
    <s v="梨山 (撤銷站)"/>
    <s v="C0F860"/>
    <n v="24.255199999999999"/>
    <n v="121.2593"/>
    <s v="1980m"/>
    <x v="7"/>
    <s v="和平區梨山里福壽路10號（梨山國小）"/>
    <m/>
    <d v="1990-07-01T00:00:00"/>
    <s v="梨山 (撤銷站)臺中市"/>
    <x v="0"/>
  </r>
  <r>
    <s v="竹東 (撤銷站)"/>
    <s v="C0D470"/>
    <n v="24.767099999999999"/>
    <n v="121.0579"/>
    <s v="229m"/>
    <x v="4"/>
    <s v="橫山鄉新庄子3號(華山國民中學內)"/>
    <m/>
    <d v="1990-07-01T00:00:00"/>
    <s v="竹東 (撤銷站)新竹縣"/>
    <x v="0"/>
  </r>
  <r>
    <s v="觀霧 (撤銷站)"/>
    <s v="C0E410"/>
    <n v="24.506"/>
    <n v="121.11320000000001"/>
    <s v="2087m"/>
    <x v="4"/>
    <s v="五峰鄉及苗栗縣泰安鄉交界(林務局觀霧國家森林遊樂區遊客中心左前方往樂山基地之路旁)"/>
    <m/>
    <d v="1987-05-01T00:00:00"/>
    <s v="觀霧 (撤銷站)新竹縣"/>
    <x v="0"/>
  </r>
  <r>
    <s v="玉里 (撤銷站)"/>
    <s v="C0Z060"/>
    <n v="23.3446"/>
    <n v="121.31780000000001"/>
    <s v="130m"/>
    <x v="16"/>
    <s v="玉里鎮中華路414號內(林務局花蓮林管處玉里工作站宿舍旁)"/>
    <s v="因移位，於2008/2/20更變為(C0Z061)站。"/>
    <d v="1997-05-20T00:00:00"/>
    <s v="玉里 (撤銷站)花蓮縣"/>
    <x v="0"/>
  </r>
  <r>
    <s v="新豐 (撤銷站)"/>
    <s v="C0C580"/>
    <n v="24.8688"/>
    <n v="120.9854"/>
    <s v="143m"/>
    <x v="4"/>
    <s v="新豐鄉"/>
    <s v="原(C0C580)站因縣市代碼不符，於2008/2/25重新編碼為(C0D590)站。"/>
    <d v="2007-05-11T00:00:00"/>
    <s v="新豐 (撤銷站)新竹縣"/>
    <x v="0"/>
  </r>
  <r>
    <s v="合歡山 (撤銷站)"/>
    <s v="C0F950"/>
    <n v="24.1435"/>
    <n v="121.2726"/>
    <s v="3430m"/>
    <x v="9"/>
    <s v="仁愛鄉(近合歡山三角點，由松雪樓開車約15分鐘，大甲溪事業區第81林班)"/>
    <s v="原(C0F950)站因縣市代碼不符，於2008/2/25重新編碼為(C0H9C0)站。"/>
    <d v="1990-07-01T00:00:00"/>
    <s v="合歡山 (撤銷站)南投縣"/>
    <x v="0"/>
  </r>
  <r>
    <s v="靜浦 (撤銷站)"/>
    <s v="C0S720"/>
    <n v="23.455100000000002"/>
    <n v="121.4948"/>
    <s v="92m"/>
    <x v="16"/>
    <s v="豐濱鄉靜浦村活動中心後山上"/>
    <s v="原(C0S720)站因縣市代碼不符，於2008/2/25重新編碼為(C0T9M0)站。"/>
    <d v="1997-04-30T00:00:00"/>
    <s v="靜浦 (撤銷站)花蓮縣"/>
    <x v="0"/>
  </r>
  <r>
    <s v="信義 (撤銷站)"/>
    <s v="C0A9H0"/>
    <n v="25.0381"/>
    <n v="121.5646"/>
    <s v="51m"/>
    <x v="1"/>
    <s v="信義區莊敬路423巷8弄1號(信義國中內)"/>
    <m/>
    <d v="1997-08-21T00:00:00"/>
    <s v="信義 (撤銷站)臺北市"/>
    <x v="0"/>
  </r>
  <r>
    <s v="大豹 (撤銷站)"/>
    <s v="C0A510"/>
    <n v="24.8871"/>
    <n v="121.42149999999999"/>
    <s v="590m"/>
    <x v="0"/>
    <s v="三峽區(三峽李山神宮附近)"/>
    <m/>
    <d v="1987-05-01T00:00:00"/>
    <s v="大豹 (撤銷站)新北市"/>
    <x v="0"/>
  </r>
  <r>
    <s v="新城 (撤銷站)"/>
    <s v="C0T840"/>
    <n v="23.998799999999999"/>
    <n v="121.6056"/>
    <s v="32m"/>
    <x v="16"/>
    <s v="新城鄉北埔村北埔路170號(北埔國民小學內)"/>
    <s v="因移位，於2009/10/15更變為(C0T841)站。"/>
    <d v="1995-06-27T00:00:00"/>
    <s v="新城 (撤銷站)花蓮縣"/>
    <x v="0"/>
  </r>
  <r>
    <s v="宜梧 (撤銷站)"/>
    <s v="C0K290"/>
    <n v="23.542200000000001"/>
    <n v="120.1726"/>
    <s v="3m"/>
    <x v="10"/>
    <s v="口湖鄉口湖村191號木宜梧農場(口湖段下湖口425號)"/>
    <s v="因觀測位置不佳，於2010/9/27更變為(C0K291)站。"/>
    <d v="1992-12-09T00:00:00"/>
    <s v="宜梧 (撤銷站)雲林縣"/>
    <x v="0"/>
  </r>
  <r>
    <s v="三重 (撤銷站)"/>
    <s v="C0A9I0"/>
    <n v="25.064"/>
    <n v="121.4885"/>
    <s v="18m"/>
    <x v="0"/>
    <s v="三重區中正北路107號(明志國中校園內)"/>
    <s v="因移位，於2010/10/11更變為(C0A9I1)站。"/>
    <d v="1997-08-16T00:00:00"/>
    <s v="三重 (撤銷站)新北市"/>
    <x v="0"/>
  </r>
  <r>
    <s v="苑里 (撤銷站)"/>
    <s v="C0E580"/>
    <n v="24.433499999999999"/>
    <n v="120.6801"/>
    <s v="60m"/>
    <x v="6"/>
    <s v="苑裡鎮"/>
    <m/>
    <d v="1990-07-01T00:00:00"/>
    <s v="苑里 (撤銷站)苗栗縣"/>
    <x v="0"/>
  </r>
  <r>
    <s v="中和 (撤銷站)"/>
    <s v="C0AC90"/>
    <n v="24.990200000000002"/>
    <n v="121.51600000000001"/>
    <s v="32m"/>
    <x v="0"/>
    <s v="中和區景新街467巷37號(景新國小校園內)"/>
    <s v="原(C1AC90)站因擴充為氣象站，於2009/12/1升級為(C0AC90)站。"/>
    <d v="2009-02-11T00:00:00"/>
    <s v="中和 (撤銷站)新北市"/>
    <x v="0"/>
  </r>
  <r>
    <s v="大尖山 (撤銷站)"/>
    <s v="C0A590"/>
    <n v="25.051500000000001"/>
    <n v="121.666"/>
    <s v="326m"/>
    <x v="0"/>
    <s v="汐止區勤進路"/>
    <m/>
    <d v="1987-05-01T00:00:00"/>
    <s v="大尖山 (撤銷站)新北市"/>
    <x v="0"/>
  </r>
  <r>
    <s v="新屋 (撤銷站)"/>
    <s v="C0C450"/>
    <n v="24.971299999999999"/>
    <n v="121.10680000000001"/>
    <s v="92m"/>
    <x v="3"/>
    <s v="新屋區新屋里(衛生署桃園醫院新屋分院北面停車場邊)"/>
    <m/>
    <d v="1987-06-01T00:00:00"/>
    <s v="新屋 (撤銷站)桃園市"/>
    <x v="0"/>
  </r>
  <r>
    <s v="楊梅 (撤銷站)"/>
    <s v="C0C500"/>
    <n v="24.9209"/>
    <n v="121.14830000000001"/>
    <s v="181m"/>
    <x v="3"/>
    <s v="楊梅區高山里11鄰梅高路838號(楊梅高中校門口對面空地)"/>
    <s v="原(C1C500)站因擴充為氣象站，於2011/12/1升級為(C0C500)站。"/>
    <d v="2011-12-01T00:00:00"/>
    <s v="楊梅 (撤銷站)桃園市"/>
    <x v="0"/>
  </r>
  <r>
    <s v="苑裡 (撤銷站)"/>
    <s v="C0E760"/>
    <n v="24.448499999999999"/>
    <n v="120.65819999999999"/>
    <s v="19m"/>
    <x v="6"/>
    <s v="苑裡鎮育才街100號(國立苑裡高中)"/>
    <m/>
    <d v="2011-05-12T00:00:00"/>
    <s v="苑裡 (撤銷站)苗栗縣"/>
    <x v="0"/>
  </r>
  <r>
    <s v="湖口 (撤銷站)"/>
    <s v="C0D370"/>
    <n v="24.909099999999999"/>
    <n v="121.044"/>
    <s v="79m"/>
    <x v="4"/>
    <s v="湖口鄉德盛村98-8號(湖口農田水利會內)"/>
    <s v="原(C1D370)站因擴充為氣象站，於2011/12/1升級為(C0D370)站。"/>
    <d v="2011-12-01T00:00:00"/>
    <s v="湖口 (撤銷站)新竹縣"/>
    <x v="0"/>
  </r>
  <r>
    <s v="永和 (撤銷站)"/>
    <s v="C0A9D0"/>
    <n v="25.008900000000001"/>
    <n v="121.5048"/>
    <s v="13m"/>
    <x v="0"/>
    <s v="永和區保生路25號(永平國民小學校園內)"/>
    <m/>
    <d v="1997-09-01T00:00:00"/>
    <s v="永和 (撤銷站)新北市"/>
    <x v="0"/>
  </r>
  <r>
    <s v="龍潭 (撤銷站)"/>
    <s v="C0C610"/>
    <n v="24.8568"/>
    <n v="121.2165"/>
    <s v="234m"/>
    <x v="3"/>
    <s v="龍潭區神龍路346號(雙龍國民小學校園內)"/>
    <m/>
    <d v="2007-03-20T00:00:00"/>
    <s v="龍潭 (撤銷站)桃園市"/>
    <x v="0"/>
  </r>
  <r>
    <s v="三和 (撤銷站)"/>
    <s v="C0A930"/>
    <n v="25.2349"/>
    <n v="121.5941"/>
    <s v="200m"/>
    <x v="0"/>
    <s v="金山區兩湖里(距兩湖分校約300公尺)"/>
    <s v="因移位，於2014/4/1更變為(C0A931)站。"/>
    <d v="1994-08-31T00:00:00"/>
    <s v="三和 (撤銷站)新北市"/>
    <x v="0"/>
  </r>
  <r>
    <s v="新屋 (撤銷站)"/>
    <s v="C0C570"/>
    <n v="25.0076"/>
    <n v="121.0476"/>
    <s v="5m"/>
    <x v="3"/>
    <s v="新屋區東興路二段946號"/>
    <s v="原(C1C570)站因擴充為氣象站，於2008/1/1升級為(C0C570)站。"/>
    <d v="2008-01-01T00:00:00"/>
    <s v="新屋 (撤銷站)桃園市"/>
    <x v="0"/>
  </r>
  <r>
    <s v="關子嶺 (撤銷站)"/>
    <s v="C0X020"/>
    <n v="23.327000000000002"/>
    <n v="120.5116"/>
    <s v="403m"/>
    <x v="13"/>
    <s v="白河區關嶺里"/>
    <m/>
    <d v="1992-12-05T00:00:00"/>
    <s v="關子嶺 (撤銷站)臺南市"/>
    <x v="0"/>
  </r>
  <r>
    <s v="台西 (撤銷站)"/>
    <s v="C0G710"/>
    <n v="23.848500000000001"/>
    <n v="120.27979999999999"/>
    <s v="64m"/>
    <x v="8"/>
    <s v="大城鄉臺西村許厝巷2之10號旁"/>
    <m/>
    <d v="1992-05-07T00:00:00"/>
    <s v="台西 (撤銷站)彰化縣"/>
    <x v="0"/>
  </r>
  <r>
    <s v="新營 (撤銷站)"/>
    <s v="C0O910"/>
    <n v="23.292300000000001"/>
    <n v="120.3215"/>
    <s v="16m"/>
    <x v="13"/>
    <s v="柳營區73603太康里一號(太康段523-12號)"/>
    <m/>
    <d v="1988-10-07T00:00:00"/>
    <s v="新營 (撤銷站)臺南市"/>
    <x v="0"/>
  </r>
  <r>
    <s v="大埔 (撤銷站)"/>
    <s v="C0K300"/>
    <n v="23.641300000000001"/>
    <n v="120.6053"/>
    <s v="369m"/>
    <x v="10"/>
    <s v="古坑鄉朝陽村北極殿旁"/>
    <m/>
    <d v="1992-12-23T00:00:00"/>
    <s v="大埔 (撤銷站)雲林縣"/>
    <x v="0"/>
  </r>
  <r>
    <s v="大河 (撤銷站)"/>
    <s v="C0E440"/>
    <n v="24.6173"/>
    <n v="120.9468"/>
    <s v="122m"/>
    <x v="6"/>
    <s v="三灣鄉大河村64號(大河國小校園內)"/>
    <s v="原(C1E440)站因擴充為氣象站，於2008/1/1升級為(C0E440)站。"/>
    <d v="2008-01-01T00:00:00"/>
    <s v="大河 (撤銷站)苗栗縣"/>
    <x v="0"/>
  </r>
  <r>
    <s v="橫山 (撤銷站)"/>
    <s v="C0F990"/>
    <n v="24.219100000000001"/>
    <n v="120.6073"/>
    <s v="253m"/>
    <x v="7"/>
    <s v="大雅區橫山通山路46號(台中高爾球場辦公室後面)"/>
    <s v="原(C1F990)站因擴充為氣象站，於2008/4/1升級為(C0F990)站。"/>
    <d v="2008-04-01T00:00:00"/>
    <s v="橫山 (撤銷站)臺中市"/>
    <x v="0"/>
  </r>
  <r>
    <s v="左營 (撤銷站)"/>
    <s v="C0V430"/>
    <n v="22.677900000000001"/>
    <n v="120.2937"/>
    <s v="26m"/>
    <x v="18"/>
    <s v="左營區曾子路281號（左營國中舊校區內）"/>
    <s v="原(C1V430)站因移位及擴充為氣象站，於2013/12/1升級為(C0V430)站。"/>
    <d v="2013-12-01T00:00:00"/>
    <s v="左營 (撤銷站)高雄市"/>
    <x v="0"/>
  </r>
  <r>
    <s v="羅東 (撤銷站)"/>
    <s v="C0U640"/>
    <n v="24.683800000000002"/>
    <n v="121.7478"/>
    <s v="24m"/>
    <x v="17"/>
    <s v="羅東鎮羅東公園"/>
    <m/>
    <d v="1995-05-18T00:00:00"/>
    <s v="羅東 (撤銷站)宜蘭縣"/>
    <x v="0"/>
  </r>
  <r>
    <s v="大崙尾山 (撤銷站)"/>
    <s v="C0A990"/>
    <n v="25.106300000000001"/>
    <n v="121.5736"/>
    <s v="463m"/>
    <x v="1"/>
    <s v="內湖區大崙尾山(內雙溪森林公園)"/>
    <m/>
    <d v="1997-09-01T00:00:00"/>
    <s v="大崙尾山 (撤銷站)臺北市"/>
    <x v="0"/>
  </r>
  <r>
    <s v="五股 (撤銷站)"/>
    <s v="C0A680"/>
    <n v="25.083400000000001"/>
    <n v="121.435"/>
    <s v="95m"/>
    <x v="0"/>
    <s v="五股區248成泰路二段49巷15號(五股國中校園內)"/>
    <s v="原(C1A680)站因擴充為氣象站，於2009/12/1升級為(C0A680)站。"/>
    <d v="2009-12-01T00:00:00"/>
    <s v="五股 (撤銷站)新北市"/>
    <x v="0"/>
  </r>
  <r>
    <s v="石岡 (撤銷站)"/>
    <s v="C0F920"/>
    <n v="24.280100000000001"/>
    <n v="120.77030000000001"/>
    <s v="290m"/>
    <x v="7"/>
    <s v="石岡區石岡里豐勢路1238號(石岡壩管理中心內)"/>
    <s v="原(C1F920)站因擴充為氣象站，於2011/11/1升級為(C0F920)站。"/>
    <d v="2011-11-01T00:00:00"/>
    <s v="石岡 (撤銷站)臺中市"/>
    <x v="0"/>
  </r>
  <r>
    <s v="林口 (撤銷站)"/>
    <s v="C0A710"/>
    <n v="25.0764"/>
    <n v="121.37820000000001"/>
    <s v="238m"/>
    <x v="0"/>
    <s v="林口區民治路25號(林口國中校園內)"/>
    <s v="原(C1A710)站因擴充為氣象站，於2009/12/1升級為(C0A710)站。"/>
    <d v="2009-12-01T00:00:00"/>
    <s v="林口 (撤銷站)新北市"/>
    <x v="0"/>
  </r>
  <r>
    <s v="龜山 (撤銷站)"/>
    <s v="C0C640"/>
    <n v="25.0303"/>
    <n v="121.37569999999999"/>
    <s v="177m"/>
    <x v="3"/>
    <s v="龜山區舊路里振興路1169號(大埔國小校園內)"/>
    <m/>
    <d v="2007-10-13T00:00:00"/>
    <s v="龜山 (撤銷站)桃園市"/>
    <x v="0"/>
  </r>
  <r>
    <s v="雙崎 (撤銷站)"/>
    <s v="C0F900"/>
    <n v="24.288599999999999"/>
    <n v="120.90430000000001"/>
    <s v="535m"/>
    <x v="7"/>
    <s v="和平區自由里東崎路2段116號內"/>
    <m/>
    <d v="1990-07-01T00:00:00"/>
    <s v="雙崎 (撤銷站)臺中市"/>
    <x v="0"/>
  </r>
  <r>
    <s v="深坑 (撤銷站)"/>
    <s v="C0AD20"/>
    <n v="25.0014"/>
    <n v="121.6176"/>
    <s v="57m"/>
    <x v="0"/>
    <s v="深坑區文化街45號(深坑國小內)"/>
    <m/>
    <d v="2009-08-14T00:00:00"/>
    <s v="深坑 (撤銷站)新北市"/>
    <x v="0"/>
  </r>
  <r>
    <s v="新城 (撤銷站)"/>
    <s v="C0T841"/>
    <n v="24.0379"/>
    <n v="121.6095"/>
    <s v="23m"/>
    <x v="16"/>
    <s v="新城鄉大漢村樹人街1號(大漢技術學院內)"/>
    <s v="原(C0T840)站因移位，於2009/10/15更變為(C0T841)，再因移位於2017/12/1更變為(C0Z180)站。"/>
    <d v="2009-10-15T00:00:00"/>
    <s v="新城 (撤銷站)花蓮縣"/>
    <x v="0"/>
  </r>
  <r>
    <s v="富世 (撤銷站)"/>
    <s v="C0T9C0"/>
    <n v="24.148199999999999"/>
    <n v="121.6296"/>
    <s v="109m"/>
    <x v="16"/>
    <s v="秀林鄉富世村127號(富世國小校園內)"/>
    <s v="原(C0T9C0)站因移位，於2017/12/1變更為(C0Z190)站。"/>
    <d v="2004-04-12T00:00:00"/>
    <s v="富世 (撤銷站)花蓮縣"/>
    <x v="0"/>
  </r>
  <r>
    <s v="冬山 (撤銷站)"/>
    <s v="C0U680"/>
    <n v="24.632400000000001"/>
    <n v="121.79349999999999"/>
    <s v="22m"/>
    <x v="17"/>
    <s v="冬山鄉南興村照安路26號(冬山國民中學內)"/>
    <s v="原(C1U680)站因擴充為氣象站，於2010/7/1升級為(C0U680)站，再因移位，於2017/12/1變更為(C0U910)站。"/>
    <d v="2010-07-01T00:00:00"/>
    <s v="冬山 (撤銷站)宜蘭縣"/>
    <x v="0"/>
  </r>
  <r>
    <s v="思源 (撤銷站)"/>
    <s v="C0U730"/>
    <n v="24.397200000000002"/>
    <n v="121.3567"/>
    <s v="1984m"/>
    <x v="17"/>
    <s v="大同鄉(思源啞口旁，大甲溪事業區第40林班)"/>
    <m/>
    <d v="1995-07-28T00:00:00"/>
    <s v="思源 (撤銷站)宜蘭縣"/>
    <x v="0"/>
  </r>
  <r>
    <s v="豐裡 (撤銷站)"/>
    <s v="C0Z260"/>
    <n v="23.842099999999999"/>
    <n v="121.5076"/>
    <s v="64m"/>
    <x v="16"/>
    <s v="壽豐鄉豐裡村中山路299號(豐裡國小)"/>
    <s v="2017/12/26起因施工暫時無法提供資料"/>
    <d v="2017-06-03T00:00:00"/>
    <s v="豐裡 (撤銷站)花蓮縣"/>
    <x v="0"/>
  </r>
  <r>
    <s v="中壢 (撤銷站)"/>
    <s v="C0C520"/>
    <n v="24.967600000000001"/>
    <n v="121.1853"/>
    <s v="151m"/>
    <x v="3"/>
    <s v="中壢區五權里(中央大學校園內)"/>
    <s v="原(C1C520)站因擴充為氣象站，於2007/10/1升級為(C0C520)站。"/>
    <d v="2007-10-01T00:00:00"/>
    <s v="中壢 (撤銷站)桃園市"/>
    <x v="0"/>
  </r>
  <r>
    <s v="壯圍 (撤銷站)"/>
    <s v="C0U620"/>
    <n v="24.7437"/>
    <n v="121.78959999999999"/>
    <s v="17m"/>
    <x v="17"/>
    <s v="壯圍鄉壯五路40號(壯圍國民小學操場旁)"/>
    <s v="原(C1U620)站因擴充為氣象站，於2010/7/1升級為(C0U620)站。"/>
    <d v="2010-07-01T00:00:00"/>
    <s v="壯圍 (撤銷站)宜蘭縣"/>
    <x v="0"/>
  </r>
  <r>
    <s v="表湖 (撤銷站)"/>
    <s v="C0V150"/>
    <n v="23.260200000000001"/>
    <n v="120.6647"/>
    <s v="1163m"/>
    <x v="18"/>
    <s v="那瑪夏區曾文水庫表湖雨量測報站旁"/>
    <s v="本站於 2013/3/19 進行儀器汰換，並於2013/8/1完成驗收。"/>
    <d v="1988-10-27T00:00:00"/>
    <s v="表湖 (撤銷站)高雄市"/>
    <x v="0"/>
  </r>
  <r>
    <s v="南港 (撤銷站)"/>
    <s v="C0A9G0"/>
    <n v="25.055399999999999"/>
    <n v="121.60290000000001"/>
    <s v="42m"/>
    <x v="1"/>
    <s v="南港區興南路62號(東新國小內)"/>
    <m/>
    <d v="1997-08-21T00:00:00"/>
    <s v="南港 (撤銷站)臺北市"/>
    <x v="0"/>
  </r>
  <r>
    <s v="三重 (撤銷站)"/>
    <s v="C0A9I1"/>
    <n v="25.056699999999999"/>
    <n v="121.4885"/>
    <s v="18m"/>
    <x v="0"/>
    <s v="三重區集美街10號(集美國小校園內)"/>
    <s v="原(C0A9I0)站因移位，於2010/10/11更變為(C0A9I1)站。原(C0A9I1)站因移位，於2019/8/2更變為(C0AI30)站。"/>
    <d v="2010-10-11T00:00:00"/>
    <s v="三重 (撤銷站)新北市"/>
    <x v="0"/>
  </r>
  <r>
    <s v="東港 (撤銷站)"/>
    <s v="C0R430"/>
    <n v="22.4649"/>
    <n v="120.4417"/>
    <s v="31m"/>
    <x v="14"/>
    <s v="東港鎮豐漁街66號(國立東港高級海事水產職業學校)"/>
    <s v="本站於2013/6/18 進行儀器汰換，並於2013/8/1完成驗收。"/>
    <d v="2008-11-14T00:00:00"/>
    <s v="東港 (撤銷站)屏東縣"/>
    <x v="0"/>
  </r>
  <r>
    <s v="竹田 (撤銷站)"/>
    <s v="C0R500"/>
    <n v="22.584900000000001"/>
    <n v="120.544"/>
    <s v="32m"/>
    <x v="14"/>
    <s v="竹田鄉中正路123號(竹田鄉公所)"/>
    <m/>
    <d v="2013-05-17T00:00:00"/>
    <s v="竹田 (撤銷站)屏東縣"/>
    <x v="0"/>
  </r>
  <r>
    <s v="屈尺 (撤銷站)"/>
    <s v="C0A580"/>
    <n v="24.9224"/>
    <n v="121.5463"/>
    <s v="70m"/>
    <x v="0"/>
    <s v="新店區屈尺里10鄰屈尺路55號(屈尺國民小學國小校園內)"/>
    <m/>
    <d v="1987-05-01T00:00:00"/>
    <s v="屈尺 (撤銷站)新北市"/>
    <x v="0"/>
  </r>
  <r>
    <s v="枋寮 (撤銷站)"/>
    <s v="C0R380"/>
    <n v="22.369399999999999"/>
    <n v="120.5896"/>
    <s v="2m"/>
    <x v="14"/>
    <s v="枋寮鄉枋寮村德興路197號(枋寮國民小學操場旁)"/>
    <m/>
    <d v="1997-05-07T00:00:00"/>
    <s v="枋寮 (撤銷站)屏東縣"/>
    <x v="0"/>
  </r>
  <r>
    <s v="楓港 (撤銷站)"/>
    <s v="C0R400"/>
    <n v="22.190200000000001"/>
    <n v="120.6927"/>
    <s v="15m"/>
    <x v="14"/>
    <s v="枋山鄉善餘村光復路24號(楓港國民小學操場旁)"/>
    <m/>
    <d v="1997-05-08T00:00:00"/>
    <s v="楓港 (撤銷站)屏東縣"/>
    <x v="0"/>
  </r>
  <r>
    <s v="墾丁 (撤銷站)"/>
    <s v="C0R360"/>
    <n v="21.945599999999999"/>
    <n v="120.8022"/>
    <s v="20m"/>
    <x v="14"/>
    <s v="恆春鎮墾丁里牧場路1號(畜產試驗所恆春分所內)"/>
    <m/>
    <d v="1997-06-03T00:00:00"/>
    <s v="墾丁 (撤銷站)屏東縣"/>
    <x v="0"/>
  </r>
  <r>
    <s v="佳樂水 (撤銷站)"/>
    <s v="C0R370"/>
    <n v="21.992000000000001"/>
    <n v="120.8446"/>
    <s v="55m"/>
    <x v="14"/>
    <s v="滿州鄉港口村茶山路14號(佳樂山林務局工作站內)"/>
    <m/>
    <d v="1997-05-09T00:00:00"/>
    <s v="佳樂水 (撤銷站)屏東縣"/>
    <x v="0"/>
  </r>
  <r>
    <s v="石牌 (撤銷站)"/>
    <s v="C0A9B0"/>
    <n v="25.116299999999999"/>
    <n v="121.5138"/>
    <s v="7m"/>
    <x v="1"/>
    <s v="北投區石牌路1段139號(石牌國中內)"/>
    <s v="原(C0A9B0)站因移位，於2019/9/10變更為(C0AI40)站。"/>
    <d v="1997-08-16T00:00:00"/>
    <s v="石牌 (撤銷站)臺北市"/>
    <x v="0"/>
  </r>
  <r>
    <s v="田中 (撤銷站)"/>
    <s v="C0G850"/>
    <n v="23.8568"/>
    <n v="120.5883"/>
    <s v="62m"/>
    <x v="8"/>
    <s v="田中鎮中州路一段177號(田中國小)"/>
    <m/>
    <d v="2011-08-01T00:00:00"/>
    <s v="田中 (撤銷站)彰化縣"/>
    <x v="0"/>
  </r>
  <r>
    <s v="花壇 (撤銷站)"/>
    <s v="C0G790"/>
    <n v="24.016100000000002"/>
    <n v="120.5523"/>
    <s v="27m"/>
    <x v="8"/>
    <s v="花壇鄉中庄村中橋街226號(華南國小)"/>
    <m/>
    <d v="2011-04-10T00:00:00"/>
    <s v="花壇 (撤銷站)彰化縣"/>
    <x v="0"/>
  </r>
  <r>
    <s v="三義 (撤銷站)"/>
    <s v="C0E530"/>
    <n v="24.410900000000002"/>
    <n v="120.76600000000001"/>
    <s v="341m"/>
    <x v="6"/>
    <s v="三義鄉廣盛村10鄰122號(三義高中內)"/>
    <m/>
    <d v="1990-07-01T00:00:00"/>
    <s v="三義 (撤銷站)苗栗縣"/>
    <x v="0"/>
  </r>
  <r>
    <s v="牡丹池山 (撤銷站)"/>
    <s v="C0R420"/>
    <n v="22.1678"/>
    <n v="120.84059999999999"/>
    <s v="504m"/>
    <x v="14"/>
    <s v="牡丹鄉電信轉播臺旁步行約3分鐘(恆春事業區21林班地)"/>
    <m/>
    <d v="1999-04-13T00:00:00"/>
    <s v="牡丹池山 (撤銷站)屏東縣"/>
    <x v="0"/>
  </r>
  <r>
    <s v="柳營 (撤銷站)"/>
    <s v="C0X270"/>
    <n v="23.257200000000001"/>
    <n v="120.3736"/>
    <s v="33m"/>
    <x v="13"/>
    <s v="柳營區果毅里61號(果毅國小)"/>
    <m/>
    <d v="2015-05-19T00:00:00"/>
    <s v="柳營 (撤銷站)臺南市"/>
    <x v="0"/>
  </r>
  <r>
    <s v="山美 (撤銷站)"/>
    <s v="C0M830"/>
    <n v="23.383800000000001"/>
    <n v="120.6682"/>
    <s v="540m"/>
    <x v="11"/>
    <s v="阿里山鄉山美村(原阿里山鄉農會山美辦事處)"/>
    <m/>
    <d v="2015-11-02T00:00:00"/>
    <s v="山美 (撤銷站)嘉義縣"/>
    <x v="0"/>
  </r>
  <r>
    <s v="紅葉山 (撤銷站)"/>
    <s v="C0S680"/>
    <n v="22.919799999999999"/>
    <n v="121.03919999999999"/>
    <s v="1659m"/>
    <x v="15"/>
    <s v="延平鄉紅葉山瞭望臺旁(延平林道23k處步行約50分鐘)"/>
    <m/>
    <d v="1997-05-15T00:00:00"/>
    <s v="紅葉山 (撤銷站)臺東縣"/>
    <x v="0"/>
  </r>
  <r>
    <s v="大直 (撤銷站)"/>
    <s v="C0A9A0"/>
    <n v="25.077999999999999"/>
    <n v="121.5429"/>
    <s v="24m"/>
    <x v="1"/>
    <s v="中山區北安路420號(大直高中內)"/>
    <m/>
    <d v="1997-09-01T00:00:00"/>
    <s v="大直 (撤銷站)臺北市"/>
    <x v="0"/>
  </r>
  <r>
    <s v="中和 (撤銷站)"/>
    <s v="C0AG90"/>
    <n v="24.992599999999999"/>
    <n v="121.49039999999999"/>
    <s v="25m"/>
    <x v="0"/>
    <s v="中和區錦和路350號(錦和運動公園)"/>
    <m/>
    <d v="2011-07-23T00:00:00"/>
    <s v="中和 (撤銷站)新北市"/>
    <x v="0"/>
  </r>
  <r>
    <s v="古坑 (撤銷站)"/>
    <s v="C0K490"/>
    <n v="23.654299999999999"/>
    <n v="120.5598"/>
    <s v="91m"/>
    <x v="10"/>
    <s v="古坑鄉中山路393號(古坑消防分隊)"/>
    <m/>
    <d v="2015-03-04T00:00:00"/>
    <s v="古坑 (撤銷站)雲林縣"/>
    <x v="0"/>
  </r>
  <r>
    <s v="士林 (撤銷站)"/>
    <s v="C0A9E0"/>
    <n v="25.090299999999999"/>
    <n v="121.503"/>
    <s v="26m"/>
    <x v="1"/>
    <s v="士林區延平北路6段308號(社子國小內)"/>
    <m/>
    <d v="1997-08-21T00:00:00"/>
    <s v="士林 (撤銷站)臺北市"/>
    <x v="0"/>
  </r>
  <r>
    <s v="高鐵彰化 (撤銷站)"/>
    <s v="C0G760"/>
    <n v="23.8752"/>
    <n v="120.5746"/>
    <s v="53m"/>
    <x v="8"/>
    <s v="田中鎮站區路二段99號(高鐵彰化站外)"/>
    <m/>
    <d v="2017-08-01T00:00:00"/>
    <s v="高鐵彰化 (撤銷站)彰化縣"/>
    <x v="0"/>
  </r>
  <r>
    <s v="香山 (撤銷站)"/>
    <s v="C0D570"/>
    <n v="24.7469"/>
    <n v="120.9055"/>
    <s v="15m"/>
    <x v="5"/>
    <s v="香山區長興街路旁"/>
    <m/>
    <d v="2007-10-12T00:00:00"/>
    <s v="香山 (撤銷站)新竹市"/>
    <x v="0"/>
  </r>
  <r>
    <s v="竹塘 (撤銷站)"/>
    <s v="C0G750"/>
    <n v="23.846599999999999"/>
    <n v="120.38249999999999"/>
    <s v="31m"/>
    <x v="8"/>
    <s v="竹塘鄉永安村東陽路二段221號(永安派出所)"/>
    <m/>
    <d v="2015-03-04T00:00:00"/>
    <s v="竹塘 (撤銷站)彰化縣"/>
    <x v="0"/>
  </r>
  <r>
    <s v="東引 (撤銷站)"/>
    <s v="C0W170"/>
    <n v="26.358799999999999"/>
    <n v="120.4836"/>
    <s v="42m"/>
    <x v="19"/>
    <s v="東引鄉（東引機場候機室旁）"/>
    <m/>
    <d v="2017-06-08T00:00:00"/>
    <s v="東引 (撤銷站)連江縣"/>
    <x v="0"/>
  </r>
  <r>
    <s v="雲林東勢 (撤銷站)"/>
    <s v="C0K520"/>
    <n v="23.674900000000001"/>
    <n v="120.25279999999999"/>
    <s v="10m"/>
    <x v="10"/>
    <s v="東勢鄉東南村所前街3號(東勢鄉公所)"/>
    <s v="於2025-09-01更正經緯度資料。"/>
    <d v="2015-03-13T00:00:00"/>
    <s v="雲林東勢 (撤銷站)雲林縣"/>
    <x v="0"/>
  </r>
  <r>
    <s v="大園 (撤銷站)"/>
    <s v="C0C540"/>
    <n v="25.047799999999999"/>
    <n v="121.226"/>
    <s v="46m"/>
    <x v="3"/>
    <s v="大園區埔心里25鄰中正東路1段189巷35號(埔心國民小學)"/>
    <s v="原(C1C540)站因擴充為氣象站，於2008/1/1升級為(C0C540)站，2017/10/27站名由埔心變更為大園。"/>
    <d v="2008-01-01T00:00:00"/>
    <s v="大園 (撤銷站)桃園市"/>
    <x v="0"/>
  </r>
  <r>
    <s v="旗津 (撤銷站)"/>
    <s v="C0V500"/>
    <n v="22.5886"/>
    <n v="120.2859"/>
    <s v="6m"/>
    <x v="18"/>
    <s v="旗津區中洲二路207號(旗津國中校園內)"/>
    <s v="本站因儀器汰換，自2013/8/12起暫停資料提供，並於2013/12/1完成驗收。"/>
    <d v="2009-10-20T00:00:00"/>
    <s v="旗津 (撤銷站)高雄市"/>
    <x v="0"/>
  </r>
  <r>
    <s v="林邊 (撤銷站)"/>
    <s v="C0R530"/>
    <n v="22.430800000000001"/>
    <n v="120.51"/>
    <s v="16m"/>
    <x v="14"/>
    <s v="林邊鄉光林村和平路45號(林邊鄉衛生所)"/>
    <m/>
    <d v="2013-06-11T00:00:00"/>
    <s v="林邊 (撤銷站)屏東縣"/>
    <x v="0"/>
  </r>
  <r>
    <s v="卓蘭 (撤銷站)"/>
    <s v="C0E790"/>
    <n v="24.312799999999999"/>
    <n v="120.8248"/>
    <s v="344m"/>
    <x v="6"/>
    <s v="卓蘭鎮中山路127號(卓蘭鎮公所)"/>
    <s v="原(C0E790)站因移位，於2022/9/21變更為(C0E791)站。"/>
    <d v="2011-01-31T00:00:00"/>
    <s v="卓蘭 (撤銷站)苗栗縣"/>
    <x v="0"/>
  </r>
  <r>
    <s v="楠梓 (撤銷站)"/>
    <s v="C0V670"/>
    <n v="22.719799999999999"/>
    <n v="120.286"/>
    <s v="20m"/>
    <x v="18"/>
    <s v="楠梓區德民路1010號(國昌國民中學)"/>
    <m/>
    <d v="2013-09-30T00:00:00"/>
    <s v="楠梓 (撤銷站)高雄市"/>
    <x v="0"/>
  </r>
  <r>
    <s v="萬丹 (撤銷站)"/>
    <s v="C0R510"/>
    <n v="22.587800000000001"/>
    <n v="120.49039999999999"/>
    <s v="31m"/>
    <x v="14"/>
    <s v="萬丹鄉萬安村和平東路69號(萬丹消防分隊)"/>
    <s v="原(C0R510)站因移位，於2023/03/14變更為(C0R930)站。"/>
    <d v="2013-06-16T00:00:00"/>
    <s v="萬丹 (撤銷站)屏東縣"/>
    <x v="0"/>
  </r>
  <r>
    <s v="關西 (撤銷站)"/>
    <s v="C0D390"/>
    <n v="24.798200000000001"/>
    <n v="121.1739"/>
    <s v="146m"/>
    <x v="4"/>
    <s v="關西鎮北斗里北門口41號(關西國中校園內)"/>
    <s v="原(C1D390)站因擴充為氣象站，於2008/1/1升級為(C0D390)站。原(C0D390)站因移位，於2023/02/19變更為(C0D700)站。"/>
    <d v="2008-01-01T00:00:00"/>
    <s v="關西 (撤銷站)新竹縣"/>
    <x v="0"/>
  </r>
  <r>
    <s v="澳底 (撤銷站)"/>
    <s v="C0AJ10"/>
    <n v="25.057099999999998"/>
    <n v="121.9273"/>
    <s v="20m"/>
    <x v="0"/>
    <s v="貢寮區新港街128號(澳底第16海巡隊樓頂)"/>
    <s v="原(C0AJ10)站因移位，於2023/06/16變更為(C0AJ90)站。"/>
    <d v="2022-03-09T00:00:00"/>
    <s v="澳底 (撤銷站)新北市"/>
    <x v="0"/>
  </r>
  <r>
    <s v="大肚 (撤銷站)"/>
    <s v="C0F000"/>
    <n v="24.152999999999999"/>
    <n v="120.57210000000001"/>
    <s v="273m"/>
    <x v="7"/>
    <s v="大肚區瑞井里遊園路一段2號(臺中區監理所內)"/>
    <s v="原(C1F000)站因擴充為氣象站，於2011/11/1升級為(C0F000)站。原（C0F000）氣象站於2024/01/08改為農業站（C2F000）。"/>
    <d v="2011-11-01T00:00:00"/>
    <s v="大肚 (撤銷站)臺中市"/>
    <x v="0"/>
  </r>
  <r>
    <s v="大湖 (撤銷站)"/>
    <s v="C0E520"/>
    <n v="24.414899999999999"/>
    <n v="120.87090000000001"/>
    <s v="320m"/>
    <x v="6"/>
    <s v="大湖鄉大寮村5鄰竹高屋34-1號附近"/>
    <s v="原(C1E520)站因擴充為氣象站，於2011/11/1升級為(C0E520)站。原（C0E520）氣象站於2024/01/08改為農業站（C2E520）。"/>
    <d v="2011-11-01T00:00:00"/>
    <s v="大湖 (撤銷站)苗栗縣"/>
    <x v="0"/>
  </r>
  <r>
    <s v="後龍 (撤銷站)"/>
    <s v="C0E540"/>
    <n v="24.6065"/>
    <n v="120.7839"/>
    <s v="32m"/>
    <x v="6"/>
    <s v="後龍鎮後龍溪橋旁高地"/>
    <s v="原(C1E540)站因擴充為氣象站，於2011/11/1升級為(C0E540)站。原（C0E540）氣象站於2024/01/08改為農業站（C2E540）。"/>
    <d v="2011-11-01T00:00:00"/>
    <s v="後龍 (撤銷站)苗栗縣"/>
    <x v="0"/>
  </r>
  <r>
    <s v="三義 (撤銷站)"/>
    <s v="C0E880"/>
    <n v="24.4055"/>
    <n v="120.74979999999999"/>
    <s v="507m"/>
    <x v="6"/>
    <s v="三義鄉130縣道13.5K附近（慈濟山茶園內）"/>
    <s v="原（C0E880）氣象站於2024/01/08改為農業站（C2E880）。"/>
    <d v="2020-01-07T00:00:00"/>
    <s v="三義 (撤銷站)苗栗縣"/>
    <x v="0"/>
  </r>
  <r>
    <s v="大甲 (撤銷站)"/>
    <s v="C0F930"/>
    <n v="24.3477"/>
    <n v="120.6404"/>
    <s v="100m"/>
    <x v="7"/>
    <s v="大甲區開元路71號(大甲高級工業職業學校內)"/>
    <s v="原(C1F930)站因擴充為氣象站，於2011/11/1升級為(C0F930)站。原（C0F930）氣象站於2024/01/08改為農業站（C2F930）。"/>
    <d v="2011-11-01T00:00:00"/>
    <s v="大甲 (撤銷站)臺中市"/>
    <x v="0"/>
  </r>
  <r>
    <s v="中竹林 (撤銷站)"/>
    <s v="C0F9A0"/>
    <n v="24.1036"/>
    <n v="120.75109999999999"/>
    <s v="425m"/>
    <x v="7"/>
    <s v="太平區長龍路中埔二號橋至站址直線距離約1.7km"/>
    <s v="原(C1F9A0)站因擴充為氣象站，於2011/11/1升級為(C0F9A0)站。原（C0F9A0）氣象站於2024/01/08改為農業站（C2F9A0）。"/>
    <d v="2011-11-01T00:00:00"/>
    <s v="中竹林 (撤銷站)臺中市"/>
    <x v="0"/>
  </r>
  <r>
    <s v="烏石坑 (撤銷站)"/>
    <s v="C0FA00"/>
    <n v="24.273499999999999"/>
    <n v="120.94759999999999"/>
    <s v="983m"/>
    <x v="7"/>
    <s v="和平區東崎路2段烏石巷109號"/>
    <s v="原（C0FA00）氣象站於2024/01/08改為農業站（C2FA00）。"/>
    <d v="2020-10-31T00:00:00"/>
    <s v="烏石坑 (撤銷站)臺中市"/>
    <x v="0"/>
  </r>
  <r>
    <s v="鹿港 (撤銷站)"/>
    <s v="C0G640"/>
    <n v="24.075299999999999"/>
    <n v="120.43049999999999"/>
    <s v="17m"/>
    <x v="8"/>
    <s v="鹿港鎮海埔里顏厝巷67號(行政院退輔會魚殖管理處彰化分場內)"/>
    <s v="原（C0G640）氣象站於2024/01/08改為農業站（C2G640）。"/>
    <d v="1992-05-05T00:00:00"/>
    <s v="鹿港 (撤銷站)彰化縣"/>
    <x v="0"/>
  </r>
  <r>
    <s v="北斗 (撤銷站)"/>
    <s v="C0G840"/>
    <n v="23.877600000000001"/>
    <n v="120.5142"/>
    <s v="32m"/>
    <x v="8"/>
    <s v="北斗鎮斗苑路二段150號(螺陽國小)"/>
    <s v="原（C0G840）氣象站於2024/01/08改為農業站（C2G840）。"/>
    <d v="2011-04-01T00:00:00"/>
    <s v="北斗 (撤銷站)彰化縣"/>
    <x v="0"/>
  </r>
  <r>
    <s v="芳苑 (撤銷站)"/>
    <s v="C0G870"/>
    <n v="23.9223"/>
    <n v="120.32"/>
    <s v="12m"/>
    <x v="8"/>
    <s v="芳苑鄉仁愛村斗苑路芳苑段211號(芳苑國中)"/>
    <s v="原（C0G870）氣象站於2024/01/08改為農業站（C2G870）。"/>
    <d v="2011-07-19T00:00:00"/>
    <s v="芳苑 (撤銷站)彰化縣"/>
    <x v="0"/>
  </r>
  <r>
    <s v="中寮 (撤銷站)"/>
    <s v="C0H950"/>
    <n v="23.884399999999999"/>
    <n v="120.7664"/>
    <s v="192m"/>
    <x v="9"/>
    <s v="中寮鄉復興村初中巷50號(中寮國中校園內)"/>
    <s v="原(C1H950)站因擴充為氣象站，於2011/11/1升級為(C0H950)站。原（C0H950）氣象站於2024/01/08改為農業站（C2H950）。"/>
    <d v="2011-11-01T00:00:00"/>
    <s v="中寮 (撤銷站)南投縣"/>
    <x v="0"/>
  </r>
  <r>
    <s v="鳳凰 (撤銷站)"/>
    <s v="C0I090"/>
    <n v="23.728100000000001"/>
    <n v="120.7873"/>
    <s v="910m"/>
    <x v="9"/>
    <s v="鹿谷鄉鳳凰鳥園旁"/>
    <s v="原（C0I090）氣象站於2024/01/08改為農業站（C2I090）。"/>
    <d v="1992-05-05T00:00:00"/>
    <s v="鳳凰 (撤銷站)南投縣"/>
    <x v="0"/>
  </r>
  <r>
    <s v="草嶺 (撤銷站)"/>
    <s v="C0K240"/>
    <n v="23.595500000000001"/>
    <n v="120.6935"/>
    <s v="1132m"/>
    <x v="10"/>
    <s v="古坑鄉草嶺村龍頭"/>
    <s v="原（C0K240）氣象站於2024/01/08改為農業站（C2K240）。"/>
    <d v="1992-05-17T00:00:00"/>
    <s v="草嶺 (撤銷站)雲林縣"/>
    <x v="0"/>
  </r>
  <r>
    <s v="馬頭山 (撤銷站)"/>
    <s v="C0M410"/>
    <n v="23.324400000000001"/>
    <n v="120.58199999999999"/>
    <s v="245m"/>
    <x v="11"/>
    <s v="大埔鄉永樂村1鄰內灣仔2號"/>
    <s v="本站於2013/3/21 進行儀器汰換，並於2013/8/1完成驗收。原（C0M410）氣象站於2024/01/08改為農業站（C2M410）。"/>
    <d v="1988-10-07T00:00:00"/>
    <s v="馬頭山 (撤銷站)嘉義縣"/>
    <x v="0"/>
  </r>
  <r>
    <s v="曾文 (撤銷站)"/>
    <s v="C0O810"/>
    <n v="23.2197"/>
    <n v="120.4973"/>
    <s v="161m"/>
    <x v="13"/>
    <s v="楠西區曾文新村(曾文水庫管理局內)"/>
    <s v="本站於 2013/5/9 進行儀器汰換，並於2013/8/1完成驗收。原（C0O810）氣象站於2024/01/08改為農業站（C2O810）。"/>
    <d v="1998-10-08T00:00:00"/>
    <s v="曾文 (撤銷站)臺南市"/>
    <x v="0"/>
  </r>
  <r>
    <s v="玉井 (撤銷站)"/>
    <s v="C0O930"/>
    <n v="23.126000000000001"/>
    <n v="120.4605"/>
    <s v="69m"/>
    <x v="13"/>
    <s v="玉井區台灣糖業公司玉井糖廠"/>
    <s v="原（C0O930）氣象站於2024/01/08改為農業站（C2O930）。"/>
    <d v="1988-10-07T00:00:00"/>
    <s v="玉井 (撤銷站)臺南市"/>
    <x v="0"/>
  </r>
  <r>
    <s v="安南 (撤銷站)"/>
    <s v="C0O950"/>
    <n v="23.076699999999999"/>
    <n v="120.14490000000001"/>
    <s v="4m"/>
    <x v="13"/>
    <s v="安南區公學路6段589號(學東國民小學內)"/>
    <s v="原(C1O950)站因擴充為氣象站，於2013/8/1升級為(C0O950)站。原（C0O950）氣象站於2024/01/08改為農業站（C2O950）。"/>
    <d v="2013-08-01T00:00:00"/>
    <s v="安南 (撤銷站)臺南市"/>
    <x v="0"/>
  </r>
  <r>
    <s v="甲仙 (撤銷站)"/>
    <s v="C0V250"/>
    <n v="23.080100000000002"/>
    <n v="120.59180000000001"/>
    <s v="298m"/>
    <x v="18"/>
    <s v="甲仙區(甲仙國民中學操場後方小山丘上)"/>
    <s v="本站於2013/3/13進行儀器汰換，並於2013/4/18完成驗收。原（C0V250）氣象站於2024/01/08改為農業站（C2V250）。"/>
    <d v="1992-01-21T00:00:00"/>
    <s v="甲仙 (撤銷站)高雄市"/>
    <x v="0"/>
  </r>
  <r>
    <s v="月眉 (撤銷站)"/>
    <s v="C0V260"/>
    <n v="22.971"/>
    <n v="120.5399"/>
    <s v="126m"/>
    <x v="18"/>
    <s v="杉林區月眉里山仙路1號月眉農場"/>
    <s v="原(C1V260)站因擴充為氣象站，於2013/8/1升級為(C0V260)站。原（C0V260）氣象站於2024/01/08改為農業站（C2V260）。"/>
    <d v="2013-08-01T00:00:00"/>
    <s v="月眉 (撤銷站)高雄市"/>
    <x v="0"/>
  </r>
  <r>
    <s v="七股 (撤銷站)"/>
    <s v="C0X310"/>
    <n v="23.147300000000001"/>
    <n v="120.08629999999999"/>
    <s v="9m"/>
    <x v="13"/>
    <s v="七股區鹽埕237-11號(氣象署七股雷達站區內)"/>
    <m/>
    <d v="2015-12-27T00:00:00"/>
    <s v="七股 (撤銷站)臺南市"/>
    <x v="0"/>
  </r>
  <r>
    <s v="瑞芳 (撤銷站)"/>
    <s v="C0A660"/>
    <n v="25.113199999999999"/>
    <n v="121.80110000000001"/>
    <s v="97m"/>
    <x v="0"/>
    <s v="瑞芳區22403龍山里逢甲路360號(義方國民小學校園內)"/>
    <s v="原(C1A660)站因擴充為氣象站，於2009/12/1升級為(C0A660)站。於2024/05/27撤銷。"/>
    <d v="2009-12-01T00:00:00"/>
    <s v="瑞芳 (撤銷站)新北市"/>
    <x v="0"/>
  </r>
  <r>
    <s v="福隆 (撤銷站)"/>
    <s v="C0A880"/>
    <n v="25.017800000000001"/>
    <n v="121.9421"/>
    <s v="6m"/>
    <x v="0"/>
    <s v="貢寮區東北角海岸國家風景管理處之福隆遊客中心後方"/>
    <s v="於2024/05/28撤銷。"/>
    <d v="1993-06-30T00:00:00"/>
    <s v="福隆 (撤銷站)新北市"/>
    <x v="0"/>
  </r>
  <r>
    <s v="富貴角 (撤銷站)"/>
    <s v="C0A920"/>
    <n v="25.2638"/>
    <n v="121.56529999999999"/>
    <s v="196m"/>
    <x v="0"/>
    <s v="石門區山溪里10鄰九芎林13號旁(石門國小山溪分班附近)"/>
    <s v="於2024/05/29撤銷。"/>
    <d v="1994-10-19T00:00:00"/>
    <s v="富貴角 (撤銷站)新北市"/>
    <x v="0"/>
  </r>
  <r>
    <s v="火燒寮 (撤銷站)"/>
    <s v="C0A650"/>
    <n v="25.002700000000001"/>
    <n v="121.74290000000001"/>
    <s v="287m"/>
    <x v="0"/>
    <s v="平溪區東勢里"/>
    <s v="原(C1A650)站因擴充為氣象站，於2009/12/1升級為(C0A650)站。於2024/05/30撤銷。"/>
    <d v="2009-12-01T00:00:00"/>
    <s v="火燒寮 (撤銷站)新北市"/>
    <x v="0"/>
  </r>
  <r>
    <s v="四堵 (撤銷站)"/>
    <s v="C0A540"/>
    <n v="24.892600000000002"/>
    <n v="121.7457"/>
    <s v="401m"/>
    <x v="0"/>
    <s v="坪林區碧湖(北宜路旁之碧湖橋道路上行約10分鐘)"/>
    <s v="於2024/05/31撤銷。"/>
    <d v="1987-05-01T00:00:00"/>
    <s v="四堵 (撤銷站)新北市"/>
    <x v="0"/>
  </r>
  <r>
    <s v="福山 (撤銷站)"/>
    <s v="C0A560"/>
    <n v="24.776199999999999"/>
    <n v="121.50279999999999"/>
    <s v="405m"/>
    <x v="0"/>
    <s v="烏來區福山里李茂岸八號(福山國小旁)"/>
    <s v="於2024/06/03撤銷。"/>
    <d v="1987-05-01T00:00:00"/>
    <s v="福山 (撤銷站)新北市"/>
    <x v="0"/>
  </r>
  <r>
    <s v="梨山 (撤銷站)"/>
    <s v="C0F861"/>
    <n v="24.247499999999999"/>
    <n v="121.2437"/>
    <s v="2215m"/>
    <x v="7"/>
    <s v="和平區梨山里福壽路29號（福壽山農場）"/>
    <s v="於2024/06/04撤銷。"/>
    <d v="2004-07-01T00:00:00"/>
    <s v="梨山 (撤銷站)臺中市"/>
    <x v="0"/>
  </r>
  <r>
    <s v="三芝 (撤銷站)"/>
    <s v="C0AD00"/>
    <n v="25.258099999999999"/>
    <n v="121.50190000000001"/>
    <s v="86m"/>
    <x v="0"/>
    <s v="三芝區育英路22號(三芝國小內)"/>
    <s v="於2024/06/14撤銷。"/>
    <d v="2009-08-25T00:00:00"/>
    <s v="三芝 (撤銷站)新北市"/>
    <x v="0"/>
  </r>
  <r>
    <s v="屏東 (撤銷站)"/>
    <s v="C0R170"/>
    <n v="22.660299999999999"/>
    <n v="120.4941"/>
    <s v="26m"/>
    <x v="14"/>
    <s v="屏東市復興路245號(台灣糖業公司屏東區處場區內)"/>
    <s v="原為雨量站(C1R170)於2013/12/1升級為氣象站，變更站碼為(C0R170)。原氣象站(C0R170)，於2025/02/28完成儀器汰換，轉為農業氣象站(C2R170)。"/>
    <d v="2013-12-01T00:00:00"/>
    <s v="屏東 (撤銷站)屏東縣"/>
    <x v="0"/>
  </r>
  <r>
    <s v="美濃 (撤銷站)"/>
    <s v="C0V310"/>
    <n v="22.898700000000002"/>
    <n v="120.5192"/>
    <s v="46m"/>
    <x v="18"/>
    <s v="美濃區福安里中山路二段204巷65號(美濃區福安國小後方)"/>
    <s v="本站於 2013/6/15 進行儀器汰換，並於2013/8/1完成驗收。原氣象站(C0V310)，於2025/02/28完成儀器汰換，轉為農業氣象站(C2V310)。"/>
    <d v="1992-01-22T00:00:00"/>
    <s v="美濃 (撤銷站)高雄市"/>
    <x v="0"/>
  </r>
  <r>
    <s v="獅子 (撤銷站)"/>
    <s v="C0R740"/>
    <n v="22.201599999999999"/>
    <n v="120.70529999999999"/>
    <s v="58m"/>
    <x v="14"/>
    <s v="獅子鄉楓林村2巷26號"/>
    <s v="原(C0R740)站因移位，於2025/01/20變更為(C0R741)站。"/>
    <d v="2020-04-09T00:00:00"/>
    <s v="獅子 (撤銷站)屏東縣"/>
    <x v="0"/>
  </r>
  <r>
    <s v="來義 (撤銷站)"/>
    <s v="C0R240"/>
    <n v="22.5273"/>
    <n v="120.6251"/>
    <s v="87m"/>
    <x v="14"/>
    <s v="萬巒鄉新隆路64號萬巒農場（佳佐段180號）"/>
    <s v="原(C1R240)站因擴充為氣象站，於2013/12/1升級為(C0R240)站。於2025-08-01撤銷。"/>
    <d v="2013-12-01T00:00:00"/>
    <s v="來義 (撤銷站)屏東縣"/>
    <x v="0"/>
  </r>
  <r>
    <s v="下營 (撤銷站)"/>
    <s v="C0X060"/>
    <n v="23.226900000000001"/>
    <n v="120.2563"/>
    <s v="19m"/>
    <x v="13"/>
    <s v="下營區仁里里下營國小附近"/>
    <s v="原(C1X060)站因擴充為氣象站，於2015/7/1升級為(C0X060)站，升級後經緯度重測。原(C0X060)站因儀器汰換，於2025/8/12轉為農業(C2X060)站。"/>
    <d v="2015-07-01T00:00:00"/>
    <s v="下營 (撤銷站)臺南市"/>
    <x v="0"/>
  </r>
  <r>
    <s v="崙背 (撤銷站)"/>
    <s v="C0K250"/>
    <n v="23.755500000000001"/>
    <n v="120.3189"/>
    <s v="12m"/>
    <x v="10"/>
    <s v="崙背鄉阿勸村阿勸農場(阿勸段487號)"/>
    <s v="原(C1K250)站因擴充為氣象站，於2015/6/8升級為(C0K250)站。原(C0K250)站因儀器汰換，於2025/8/16轉為農業(C2K250)站。"/>
    <d v="2015-06-08T00:00:00"/>
    <s v="崙背 (撤銷站)雲林縣"/>
    <x v="0"/>
  </r>
  <r>
    <s v="四湖 (撤銷站)"/>
    <s v="C0K280"/>
    <n v="23.630400000000002"/>
    <n v="120.22709999999999"/>
    <s v="23m"/>
    <x v="10"/>
    <s v="四湖鄉湖西村中正路766號(四湖國民中學內)"/>
    <s v="本站於2015/7/18起進行儀器汰換，並於2015/12/31完成驗收。原(C0K280)站因儀器汰換，於2025/8/16轉為農業(C2K280)站。"/>
    <d v="1992-12-05T00:00:00"/>
    <s v="四湖 (撤銷站)雲林縣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68B30-19A4-40F7-8E1B-D1622AD5EE86}" name="樞紐分析表15" cacheId="8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O3:Q26" firstHeaderRow="0" firstDataRow="1" firstDataCol="1" rowPageCount="1" colPageCount="1"/>
  <pivotFields count="11">
    <pivotField showAll="0"/>
    <pivotField showAll="0"/>
    <pivotField showAll="0"/>
    <pivotField showAll="0"/>
    <pivotField showAll="0"/>
    <pivotField axis="axisRow" showAll="0" sortType="descending">
      <items count="23">
        <item x="17"/>
        <item x="16"/>
        <item x="21"/>
        <item x="9"/>
        <item x="14"/>
        <item x="6"/>
        <item x="3"/>
        <item x="18"/>
        <item x="2"/>
        <item x="19"/>
        <item x="10"/>
        <item x="0"/>
        <item x="5"/>
        <item x="4"/>
        <item x="12"/>
        <item x="11"/>
        <item x="8"/>
        <item x="7"/>
        <item x="1"/>
        <item x="15"/>
        <item x="13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numFmtId="14" showAll="0"/>
    <pivotField showAll="0"/>
    <pivotField axis="axisPage" multipleItemSelectionAllowed="1" showAll="0">
      <items count="4">
        <item h="1" x="0"/>
        <item x="2"/>
        <item x="1"/>
        <item t="default"/>
      </items>
    </pivotField>
  </pivotFields>
  <rowFields count="1">
    <field x="5"/>
  </rowFields>
  <rowItems count="23">
    <i>
      <x v="1"/>
    </i>
    <i>
      <x v="11"/>
    </i>
    <i>
      <x/>
    </i>
    <i>
      <x v="13"/>
    </i>
    <i>
      <x v="17"/>
    </i>
    <i>
      <x v="5"/>
    </i>
    <i>
      <x v="6"/>
    </i>
    <i>
      <x v="4"/>
    </i>
    <i>
      <x v="15"/>
    </i>
    <i>
      <x v="19"/>
    </i>
    <i>
      <x v="8"/>
    </i>
    <i>
      <x v="3"/>
    </i>
    <i>
      <x v="2"/>
    </i>
    <i>
      <x v="21"/>
    </i>
    <i>
      <x v="9"/>
    </i>
    <i>
      <x v="14"/>
    </i>
    <i>
      <x v="16"/>
    </i>
    <i>
      <x v="12"/>
    </i>
    <i>
      <x v="7"/>
    </i>
    <i>
      <x v="18"/>
    </i>
    <i>
      <x v="10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最小 - 設站日期" fld="8" subtotal="min" baseField="5" baseItem="11" numFmtId="14"/>
    <dataField name="最大 - 設站日期" fld="8" subtotal="max" baseField="10" baseItem="1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4EC22-5DAC-43F7-90CF-3CE02CF85930}" name="表格2" displayName="表格2" ref="A1:M620" totalsRowShown="0" headerRowDxfId="17" dataDxfId="16">
  <autoFilter ref="A1:M620" xr:uid="{BA24EC22-5DAC-43F7-90CF-3CE02CF85930}">
    <filterColumn colId="11">
      <customFilters>
        <customFilter operator="notEqual" val=" "/>
      </customFilters>
    </filterColumn>
  </autoFilter>
  <tableColumns count="13">
    <tableColumn id="11" xr3:uid="{BEB727D8-7898-4D94-9CFD-926EB793108C}" name="輔助欄位" dataDxfId="3">
      <calculatedColumnFormula>表格2[[#This Row],[站名]]&amp;表格2[[#This Row],[城市]]</calculatedColumnFormula>
    </tableColumn>
    <tableColumn id="1" xr3:uid="{78C455A0-B7E0-43CB-B291-9A9D8497F4A7}" name="站名" dataDxfId="15"/>
    <tableColumn id="2" xr3:uid="{3BF75D7C-20DB-4489-8110-B3B2A018C7F6}" name="站碼" dataDxfId="14"/>
    <tableColumn id="3" xr3:uid="{BAC4E025-02E5-47BD-B399-4EDC193B2732}" name="WGS84十分位緯度座標" dataDxfId="13"/>
    <tableColumn id="4" xr3:uid="{78F84595-A093-4052-BA15-F1437E1C0F2C}" name="WGS84十分位經度座標" dataDxfId="12"/>
    <tableColumn id="5" xr3:uid="{8CF9AA21-249B-427F-BD0E-A936B85B6CED}" name="高度" dataDxfId="11"/>
    <tableColumn id="14" xr3:uid="{E640057C-FB0C-47D0-9224-1CDD0AB79078}" name="city_id" dataDxfId="0"/>
    <tableColumn id="6" xr3:uid="{EE2FC9F9-E4C2-45E2-9DF1-568B04FA6E35}" name="城市" dataDxfId="10"/>
    <tableColumn id="7" xr3:uid="{B5D41F23-D67A-4A47-A6FF-064E34DC8D11}" name="位置" dataDxfId="9"/>
    <tableColumn id="8" xr3:uid="{AC2D11C6-B3ED-4EB3-8676-C81720FA52D1}" name="備註" dataDxfId="8"/>
    <tableColumn id="9" xr3:uid="{AD99C61E-F49D-4AB7-9F92-B9B34934EADC}" name="設站日期" dataDxfId="7"/>
    <tableColumn id="10" xr3:uid="{4C7650D9-C63B-421D-874B-35B9DFDCF927}" name="Gemini建議" dataDxfId="4">
      <calculatedColumnFormula>_xlfn.XLOOKUP(A:A,Gemini建議!A:A,Gemini建議!B:B,"")</calculatedColumnFormula>
    </tableColumn>
    <tableColumn id="13" xr3:uid="{3EF3FC63-91D4-4DE4-9618-2DF633A6C21D}" name="no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8DD3-B33D-428D-800E-3EE68CEF58D9}" name="表格3" displayName="表格3" ref="A1:E105" totalsRowShown="0" headerRowDxfId="6" dataDxfId="5">
  <autoFilter ref="A1:E105" xr:uid="{FE178DD3-B33D-428D-800E-3EE68CEF58D9}"/>
  <tableColumns count="5">
    <tableColumn id="5" xr3:uid="{270EF89F-1BDA-49BA-9E4C-ACE68DC87145}" name="輔助欄位" dataDxfId="1">
      <calculatedColumnFormula>表格3[[#This Row],[站名]]&amp;表格3[[#This Row],[城市]]</calculatedColumnFormula>
    </tableColumn>
    <tableColumn id="1" xr3:uid="{2B5BB212-5619-4D24-94E1-FE5CEF7E1F35}" name="分類"/>
    <tableColumn id="2" xr3:uid="{F8F23CF8-85E8-4B5A-8E39-5835C156A3EE}" name="城市"/>
    <tableColumn id="3" xr3:uid="{8392BDD7-98C3-4344-899B-13B660F9C5B9}" name="站名"/>
    <tableColumn id="4" xr3:uid="{FF438683-CB1A-4EA4-9865-5B5A97D457FA}" name="高度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BEB6-C2F8-4693-B16B-9D3D8B02851E}">
  <sheetPr>
    <tabColor theme="3" tint="0.89999084444715716"/>
  </sheetPr>
  <dimension ref="A1:Q620"/>
  <sheetViews>
    <sheetView workbookViewId="0">
      <selection activeCell="J61" sqref="J61"/>
    </sheetView>
  </sheetViews>
  <sheetFormatPr defaultRowHeight="16.149999999999999"/>
  <cols>
    <col min="4" max="5" width="12.265625" customWidth="1"/>
    <col min="13" max="13" width="14.19921875" customWidth="1"/>
    <col min="16" max="16" width="11.33203125" bestFit="1" customWidth="1"/>
    <col min="17" max="18" width="16.59765625" bestFit="1" customWidth="1"/>
  </cols>
  <sheetData>
    <row r="1" spans="1:17" ht="22.9">
      <c r="A1" s="10" t="s">
        <v>2488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9" t="s">
        <v>2534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2423</v>
      </c>
      <c r="M1" s="10" t="s">
        <v>2525</v>
      </c>
      <c r="N1" s="1"/>
      <c r="O1" s="5" t="s">
        <v>2523</v>
      </c>
      <c r="P1" t="s">
        <v>2524</v>
      </c>
    </row>
    <row r="2" spans="1:17" ht="30" hidden="1" customHeight="1">
      <c r="A2" s="2" t="str">
        <f>表格2[[#This Row],[站名]]&amp;表格2[[#This Row],[城市]]</f>
        <v>山佳新北市</v>
      </c>
      <c r="B2" s="1" t="s">
        <v>9</v>
      </c>
      <c r="C2" s="1" t="s">
        <v>10</v>
      </c>
      <c r="D2" s="1">
        <v>24.974900000000002</v>
      </c>
      <c r="E2" s="1">
        <v>121.402</v>
      </c>
      <c r="F2" s="1" t="s">
        <v>11</v>
      </c>
      <c r="G2" s="1" t="s">
        <v>2537</v>
      </c>
      <c r="H2" s="1" t="s">
        <v>12</v>
      </c>
      <c r="I2" s="1" t="s">
        <v>13</v>
      </c>
      <c r="J2" s="1"/>
      <c r="K2" s="2">
        <v>31898</v>
      </c>
      <c r="L2" s="3" t="str">
        <f>_xlfn.XLOOKUP(A:A,Gemini建議!A:A,Gemini建議!B:B,"")</f>
        <v/>
      </c>
      <c r="M2" s="1"/>
      <c r="N2" s="1"/>
    </row>
    <row r="3" spans="1:17" ht="30" hidden="1" customHeight="1">
      <c r="A3" s="2" t="str">
        <f>表格2[[#This Row],[站名]]&amp;表格2[[#This Row],[城市]]</f>
        <v>坪林新北市</v>
      </c>
      <c r="B3" s="1" t="s">
        <v>14</v>
      </c>
      <c r="C3" s="1" t="s">
        <v>15</v>
      </c>
      <c r="D3" s="1">
        <v>24.938199999999998</v>
      </c>
      <c r="E3" s="1">
        <v>121.7097</v>
      </c>
      <c r="F3" s="1" t="s">
        <v>16</v>
      </c>
      <c r="G3" s="1" t="s">
        <v>2537</v>
      </c>
      <c r="H3" s="1" t="s">
        <v>12</v>
      </c>
      <c r="I3" s="1" t="s">
        <v>17</v>
      </c>
      <c r="J3" s="1"/>
      <c r="K3" s="2">
        <v>31898</v>
      </c>
      <c r="L3" s="3" t="str">
        <f>_xlfn.XLOOKUP(A:A,Gemini建議!A:A,Gemini建議!B:B,"")</f>
        <v/>
      </c>
      <c r="M3" s="1"/>
      <c r="N3" s="1"/>
      <c r="O3" s="5" t="s">
        <v>2387</v>
      </c>
      <c r="P3" t="s">
        <v>2521</v>
      </c>
      <c r="Q3" t="s">
        <v>2522</v>
      </c>
    </row>
    <row r="4" spans="1:17" ht="30" hidden="1" customHeight="1">
      <c r="A4" s="2" t="str">
        <f>表格2[[#This Row],[站名]]&amp;表格2[[#This Row],[城市]]</f>
        <v>泰平新北市</v>
      </c>
      <c r="B4" s="1" t="s">
        <v>18</v>
      </c>
      <c r="C4" s="1" t="s">
        <v>19</v>
      </c>
      <c r="D4" s="1">
        <v>24.9712</v>
      </c>
      <c r="E4" s="1">
        <v>121.8237</v>
      </c>
      <c r="F4" s="1" t="s">
        <v>20</v>
      </c>
      <c r="G4" s="1" t="s">
        <v>2537</v>
      </c>
      <c r="H4" s="1" t="s">
        <v>12</v>
      </c>
      <c r="I4" s="1" t="s">
        <v>21</v>
      </c>
      <c r="J4" s="1"/>
      <c r="K4" s="2">
        <v>31898</v>
      </c>
      <c r="L4" s="3" t="str">
        <f>_xlfn.XLOOKUP(A:A,Gemini建議!A:A,Gemini建議!B:B,"")</f>
        <v/>
      </c>
      <c r="M4" s="1"/>
      <c r="N4" s="1"/>
      <c r="O4" s="6" t="s">
        <v>2389</v>
      </c>
      <c r="P4" s="13">
        <v>34656</v>
      </c>
      <c r="Q4" s="13">
        <v>45828</v>
      </c>
    </row>
    <row r="5" spans="1:17" ht="30" hidden="1" customHeight="1">
      <c r="A5" s="2" t="str">
        <f>表格2[[#This Row],[站名]]&amp;表格2[[#This Row],[城市]]</f>
        <v>桶後新北市</v>
      </c>
      <c r="B5" s="1" t="s">
        <v>22</v>
      </c>
      <c r="C5" s="1" t="s">
        <v>23</v>
      </c>
      <c r="D5" s="1">
        <v>24.848199999999999</v>
      </c>
      <c r="E5" s="1">
        <v>121.598</v>
      </c>
      <c r="F5" s="1" t="s">
        <v>24</v>
      </c>
      <c r="G5" s="1" t="s">
        <v>2537</v>
      </c>
      <c r="H5" s="1" t="s">
        <v>12</v>
      </c>
      <c r="I5" s="1" t="s">
        <v>25</v>
      </c>
      <c r="J5" s="1"/>
      <c r="K5" s="2">
        <v>31898</v>
      </c>
      <c r="L5" s="3" t="str">
        <f>_xlfn.XLOOKUP(A:A,Gemini建議!A:A,Gemini建議!B:B,"")</f>
        <v/>
      </c>
      <c r="M5" s="1"/>
      <c r="N5" s="1"/>
      <c r="O5" s="6" t="s">
        <v>2399</v>
      </c>
      <c r="P5" s="13">
        <v>34201</v>
      </c>
      <c r="Q5" s="13">
        <v>45754</v>
      </c>
    </row>
    <row r="6" spans="1:17" ht="30" hidden="1" customHeight="1">
      <c r="A6" s="2" t="str">
        <f>表格2[[#This Row],[站名]]&amp;表格2[[#This Row],[城市]]</f>
        <v>石碇新北市</v>
      </c>
      <c r="B6" s="1" t="s">
        <v>26</v>
      </c>
      <c r="C6" s="1" t="s">
        <v>27</v>
      </c>
      <c r="D6" s="1">
        <v>24.994</v>
      </c>
      <c r="E6" s="1">
        <v>121.66289999999999</v>
      </c>
      <c r="F6" s="1" t="s">
        <v>28</v>
      </c>
      <c r="G6" s="1" t="s">
        <v>2537</v>
      </c>
      <c r="H6" s="1" t="s">
        <v>12</v>
      </c>
      <c r="I6" s="1" t="s">
        <v>29</v>
      </c>
      <c r="J6" s="1" t="s">
        <v>30</v>
      </c>
      <c r="K6" s="2">
        <v>40148</v>
      </c>
      <c r="L6" s="3" t="str">
        <f>_xlfn.XLOOKUP(A:A,Gemini建議!A:A,Gemini建議!B:B,"")</f>
        <v/>
      </c>
      <c r="M6" s="1"/>
      <c r="N6" s="1"/>
      <c r="O6" s="6" t="s">
        <v>2388</v>
      </c>
      <c r="P6" s="13">
        <v>34848</v>
      </c>
      <c r="Q6" s="13">
        <v>45743</v>
      </c>
    </row>
    <row r="7" spans="1:17" ht="30" hidden="1" customHeight="1">
      <c r="A7" s="2" t="str">
        <f>表格2[[#This Row],[站名]]&amp;表格2[[#This Row],[城市]]</f>
        <v>科教館臺北市</v>
      </c>
      <c r="B7" s="1" t="s">
        <v>31</v>
      </c>
      <c r="C7" s="1" t="s">
        <v>32</v>
      </c>
      <c r="D7" s="1">
        <v>25.096399999999999</v>
      </c>
      <c r="E7" s="1">
        <v>121.51649999999999</v>
      </c>
      <c r="F7" s="1" t="s">
        <v>33</v>
      </c>
      <c r="G7" s="1" t="s">
        <v>2536</v>
      </c>
      <c r="H7" s="1" t="s">
        <v>34</v>
      </c>
      <c r="I7" s="1" t="s">
        <v>35</v>
      </c>
      <c r="J7" s="1"/>
      <c r="K7" s="2">
        <v>44543</v>
      </c>
      <c r="L7" s="3" t="str">
        <f>_xlfn.XLOOKUP(A:A,Gemini建議!A:A,Gemini建議!B:B,"")</f>
        <v/>
      </c>
      <c r="M7" s="1"/>
      <c r="N7" s="1"/>
      <c r="O7" s="6" t="s">
        <v>2401</v>
      </c>
      <c r="P7" s="13">
        <v>31929</v>
      </c>
      <c r="Q7" s="13">
        <v>45743</v>
      </c>
    </row>
    <row r="8" spans="1:17" ht="30" hidden="1" customHeight="1">
      <c r="A8" s="2" t="str">
        <f>表格2[[#This Row],[站名]]&amp;表格2[[#This Row],[城市]]</f>
        <v>大坪新北市</v>
      </c>
      <c r="B8" s="1" t="s">
        <v>36</v>
      </c>
      <c r="C8" s="1" t="s">
        <v>37</v>
      </c>
      <c r="D8" s="1">
        <v>25.165900000000001</v>
      </c>
      <c r="E8" s="1">
        <v>121.633</v>
      </c>
      <c r="F8" s="1" t="s">
        <v>38</v>
      </c>
      <c r="G8" s="1" t="s">
        <v>2537</v>
      </c>
      <c r="H8" s="1" t="s">
        <v>12</v>
      </c>
      <c r="I8" s="1" t="s">
        <v>39</v>
      </c>
      <c r="J8" s="1"/>
      <c r="K8" s="2">
        <v>34124</v>
      </c>
      <c r="L8" s="3" t="str">
        <f>_xlfn.XLOOKUP(A:A,Gemini建議!A:A,Gemini建議!B:B,"")</f>
        <v/>
      </c>
      <c r="M8" s="1"/>
      <c r="N8" s="1"/>
      <c r="O8" s="6" t="s">
        <v>2405</v>
      </c>
      <c r="P8" s="13">
        <v>40604</v>
      </c>
      <c r="Q8" s="13">
        <v>45743</v>
      </c>
    </row>
    <row r="9" spans="1:17" ht="30" customHeight="1">
      <c r="A9" s="2" t="str">
        <f>表格2[[#This Row],[站名]]&amp;表格2[[#This Row],[城市]]</f>
        <v>五指山新北市</v>
      </c>
      <c r="B9" s="1" t="s">
        <v>40</v>
      </c>
      <c r="C9" s="1" t="s">
        <v>41</v>
      </c>
      <c r="D9" s="1">
        <v>25.132200000000001</v>
      </c>
      <c r="E9" s="1">
        <v>121.6087</v>
      </c>
      <c r="F9" s="1" t="s">
        <v>42</v>
      </c>
      <c r="G9" s="1" t="s">
        <v>2537</v>
      </c>
      <c r="H9" s="1" t="s">
        <v>12</v>
      </c>
      <c r="I9" s="1" t="s">
        <v>43</v>
      </c>
      <c r="J9" s="1"/>
      <c r="K9" s="2">
        <v>34201</v>
      </c>
      <c r="L9" s="3" t="str">
        <f>_xlfn.XLOOKUP(A:A,Gemini建議!A:A,Gemini建議!B:B,"")</f>
        <v>高海拔測站 (全)</v>
      </c>
      <c r="M9" s="1"/>
      <c r="N9" s="1"/>
      <c r="O9" s="6" t="s">
        <v>2393</v>
      </c>
      <c r="P9" s="13">
        <v>33055</v>
      </c>
      <c r="Q9" s="13">
        <v>45743</v>
      </c>
    </row>
    <row r="10" spans="1:17" ht="30" hidden="1" customHeight="1">
      <c r="A10" s="2" t="str">
        <f>表格2[[#This Row],[站名]]&amp;表格2[[#This Row],[城市]]</f>
        <v>雙溪新北市</v>
      </c>
      <c r="B10" s="1" t="s">
        <v>44</v>
      </c>
      <c r="C10" s="1" t="s">
        <v>45</v>
      </c>
      <c r="D10" s="1">
        <v>25.036000000000001</v>
      </c>
      <c r="E10" s="1">
        <v>121.8642</v>
      </c>
      <c r="F10" s="1" t="s">
        <v>46</v>
      </c>
      <c r="G10" s="1" t="s">
        <v>2537</v>
      </c>
      <c r="H10" s="1" t="s">
        <v>12</v>
      </c>
      <c r="I10" s="1" t="s">
        <v>47</v>
      </c>
      <c r="J10" s="1"/>
      <c r="K10" s="2">
        <v>34150</v>
      </c>
      <c r="L10" s="3" t="str">
        <f>_xlfn.XLOOKUP(A:A,Gemini建議!A:A,Gemini建議!B:B,"")</f>
        <v/>
      </c>
      <c r="M10" s="1"/>
      <c r="N10" s="1"/>
      <c r="O10" s="6" t="s">
        <v>2394</v>
      </c>
      <c r="P10" s="13">
        <v>39366</v>
      </c>
      <c r="Q10" s="13">
        <v>45743</v>
      </c>
    </row>
    <row r="11" spans="1:17" ht="30" hidden="1" customHeight="1">
      <c r="A11" s="2" t="str">
        <f>表格2[[#This Row],[站名]]&amp;表格2[[#This Row],[城市]]</f>
        <v>三和新北市</v>
      </c>
      <c r="B11" s="1" t="s">
        <v>48</v>
      </c>
      <c r="C11" s="1" t="s">
        <v>49</v>
      </c>
      <c r="D11" s="1">
        <v>25.2332</v>
      </c>
      <c r="E11" s="1">
        <v>121.59520000000001</v>
      </c>
      <c r="F11" s="1" t="s">
        <v>50</v>
      </c>
      <c r="G11" s="1" t="s">
        <v>2537</v>
      </c>
      <c r="H11" s="1" t="s">
        <v>12</v>
      </c>
      <c r="I11" s="1" t="s">
        <v>51</v>
      </c>
      <c r="J11" s="1" t="s">
        <v>52</v>
      </c>
      <c r="K11" s="2">
        <v>41730</v>
      </c>
      <c r="L11" s="3" t="str">
        <f>_xlfn.XLOOKUP(A:A,Gemini建議!A:A,Gemini建議!B:B,"")</f>
        <v/>
      </c>
      <c r="M11" s="1"/>
      <c r="N11" s="1"/>
      <c r="O11" s="6" t="s">
        <v>2392</v>
      </c>
      <c r="P11" s="13">
        <v>33625</v>
      </c>
      <c r="Q11" s="13">
        <v>43930</v>
      </c>
    </row>
    <row r="12" spans="1:17" ht="30" hidden="1" customHeight="1">
      <c r="A12" s="2" t="str">
        <f>表格2[[#This Row],[站名]]&amp;表格2[[#This Row],[城市]]</f>
        <v>金山新北市</v>
      </c>
      <c r="B12" s="1" t="s">
        <v>53</v>
      </c>
      <c r="C12" s="1" t="s">
        <v>54</v>
      </c>
      <c r="D12" s="1">
        <v>25.223600000000001</v>
      </c>
      <c r="E12" s="1">
        <v>121.64400000000001</v>
      </c>
      <c r="F12" s="1" t="s">
        <v>55</v>
      </c>
      <c r="G12" s="1" t="s">
        <v>2537</v>
      </c>
      <c r="H12" s="1" t="s">
        <v>12</v>
      </c>
      <c r="I12" s="1" t="s">
        <v>56</v>
      </c>
      <c r="J12" s="1"/>
      <c r="K12" s="2">
        <v>34575</v>
      </c>
      <c r="L12" s="3" t="str">
        <f>_xlfn.XLOOKUP(A:A,Gemini建議!A:A,Gemini建議!B:B,"")</f>
        <v/>
      </c>
      <c r="M12" s="1"/>
      <c r="N12" s="1"/>
      <c r="O12" s="6" t="s">
        <v>2403</v>
      </c>
      <c r="P12" s="13">
        <v>33943</v>
      </c>
      <c r="Q12" s="13">
        <v>43921</v>
      </c>
    </row>
    <row r="13" spans="1:17" ht="30" hidden="1" customHeight="1">
      <c r="A13" s="2" t="str">
        <f>表格2[[#This Row],[站名]]&amp;表格2[[#This Row],[城市]]</f>
        <v>鼻頭角新北市</v>
      </c>
      <c r="B13" s="1" t="s">
        <v>57</v>
      </c>
      <c r="C13" s="1" t="s">
        <v>58</v>
      </c>
      <c r="D13" s="1">
        <v>25.129000000000001</v>
      </c>
      <c r="E13" s="1">
        <v>121.9234</v>
      </c>
      <c r="F13" s="1" t="s">
        <v>33</v>
      </c>
      <c r="G13" s="1" t="s">
        <v>2537</v>
      </c>
      <c r="H13" s="1" t="s">
        <v>12</v>
      </c>
      <c r="I13" s="1" t="s">
        <v>59</v>
      </c>
      <c r="J13" s="1"/>
      <c r="K13" s="2">
        <v>34575</v>
      </c>
      <c r="L13" s="3" t="str">
        <f>_xlfn.XLOOKUP(A:A,Gemini建議!A:A,Gemini建議!B:B,"")</f>
        <v/>
      </c>
      <c r="M13" s="1"/>
      <c r="N13" s="1"/>
      <c r="O13" s="6" t="s">
        <v>2407</v>
      </c>
      <c r="P13" s="13">
        <v>35544</v>
      </c>
      <c r="Q13" s="13">
        <v>43651</v>
      </c>
    </row>
    <row r="14" spans="1:17" ht="30" hidden="1" customHeight="1">
      <c r="A14" s="2" t="str">
        <f>表格2[[#This Row],[站名]]&amp;表格2[[#This Row],[城市]]</f>
        <v>三貂角新北市</v>
      </c>
      <c r="B14" s="1" t="s">
        <v>60</v>
      </c>
      <c r="C14" s="1" t="s">
        <v>61</v>
      </c>
      <c r="D14" s="1">
        <v>25.0076</v>
      </c>
      <c r="E14" s="1">
        <v>122.0021</v>
      </c>
      <c r="F14" s="1" t="s">
        <v>62</v>
      </c>
      <c r="G14" s="1" t="s">
        <v>2537</v>
      </c>
      <c r="H14" s="1" t="s">
        <v>12</v>
      </c>
      <c r="I14" s="1" t="s">
        <v>63</v>
      </c>
      <c r="J14" s="1" t="s">
        <v>64</v>
      </c>
      <c r="K14" s="2">
        <v>34858</v>
      </c>
      <c r="L14" s="3" t="str">
        <f>_xlfn.XLOOKUP(A:A,Gemini建議!A:A,Gemini建議!B:B,"")</f>
        <v/>
      </c>
      <c r="M14" s="1"/>
      <c r="N14" s="1"/>
      <c r="O14" s="6" t="s">
        <v>2396</v>
      </c>
      <c r="P14" s="13">
        <v>43274</v>
      </c>
      <c r="Q14" s="13">
        <v>43274</v>
      </c>
    </row>
    <row r="15" spans="1:17" ht="30" customHeight="1">
      <c r="A15" s="2" t="str">
        <f>表格2[[#This Row],[站名]]&amp;表格2[[#This Row],[城市]]</f>
        <v>社子臺北市</v>
      </c>
      <c r="B15" s="1" t="s">
        <v>65</v>
      </c>
      <c r="C15" s="1" t="s">
        <v>66</v>
      </c>
      <c r="D15" s="1">
        <v>25.109500000000001</v>
      </c>
      <c r="E15" s="1">
        <v>121.4697</v>
      </c>
      <c r="F15" s="1" t="s">
        <v>67</v>
      </c>
      <c r="G15" s="1" t="s">
        <v>2536</v>
      </c>
      <c r="H15" s="1" t="s">
        <v>34</v>
      </c>
      <c r="I15" s="1" t="s">
        <v>68</v>
      </c>
      <c r="J15" s="1"/>
      <c r="K15" s="2">
        <v>35674</v>
      </c>
      <c r="L15" s="3" t="str">
        <f>_xlfn.XLOOKUP(A:A,Gemini建議!A:A,Gemini建議!B:B,"")</f>
        <v>低海拔代表站</v>
      </c>
      <c r="M15" s="1"/>
      <c r="N15" s="1"/>
      <c r="O15" s="6" t="s">
        <v>2391</v>
      </c>
      <c r="P15" s="13">
        <v>33736</v>
      </c>
      <c r="Q15" s="13">
        <v>43097</v>
      </c>
    </row>
    <row r="16" spans="1:17" ht="30" hidden="1" customHeight="1">
      <c r="A16" s="2" t="str">
        <f>表格2[[#This Row],[站名]]&amp;表格2[[#This Row],[城市]]</f>
        <v>天母臺北市</v>
      </c>
      <c r="B16" s="1" t="s">
        <v>69</v>
      </c>
      <c r="C16" s="1" t="s">
        <v>70</v>
      </c>
      <c r="D16" s="1">
        <v>25.1175</v>
      </c>
      <c r="E16" s="1">
        <v>121.5372</v>
      </c>
      <c r="F16" s="1" t="s">
        <v>71</v>
      </c>
      <c r="G16" s="1" t="s">
        <v>2536</v>
      </c>
      <c r="H16" s="1" t="s">
        <v>34</v>
      </c>
      <c r="I16" s="1" t="s">
        <v>72</v>
      </c>
      <c r="J16" s="1"/>
      <c r="K16" s="2">
        <v>35658</v>
      </c>
      <c r="L16" s="3" t="str">
        <f>_xlfn.XLOOKUP(A:A,Gemini建議!A:A,Gemini建議!B:B,"")</f>
        <v/>
      </c>
      <c r="M16" s="1"/>
      <c r="N16" s="1"/>
      <c r="O16" s="6" t="s">
        <v>2390</v>
      </c>
      <c r="P16" s="13">
        <v>42598</v>
      </c>
      <c r="Q16" s="13">
        <v>42598</v>
      </c>
    </row>
    <row r="17" spans="1:17" ht="30" hidden="1" customHeight="1">
      <c r="A17" s="2" t="str">
        <f>表格2[[#This Row],[站名]]&amp;表格2[[#This Row],[城市]]</f>
        <v>內湖臺北市</v>
      </c>
      <c r="B17" s="1" t="s">
        <v>73</v>
      </c>
      <c r="C17" s="1" t="s">
        <v>74</v>
      </c>
      <c r="D17" s="1">
        <v>25.0794</v>
      </c>
      <c r="E17" s="1">
        <v>121.57550000000001</v>
      </c>
      <c r="F17" s="1" t="s">
        <v>71</v>
      </c>
      <c r="G17" s="1" t="s">
        <v>2536</v>
      </c>
      <c r="H17" s="1" t="s">
        <v>34</v>
      </c>
      <c r="I17" s="1" t="s">
        <v>75</v>
      </c>
      <c r="J17" s="1"/>
      <c r="K17" s="2">
        <v>35663</v>
      </c>
      <c r="L17" s="3" t="str">
        <f>_xlfn.XLOOKUP(A:A,Gemini建議!A:A,Gemini建議!B:B,"")</f>
        <v/>
      </c>
      <c r="M17" s="1"/>
      <c r="N17" s="1"/>
      <c r="O17" s="6" t="s">
        <v>2409</v>
      </c>
      <c r="P17" s="13">
        <v>42476</v>
      </c>
      <c r="Q17" s="13">
        <v>42476</v>
      </c>
    </row>
    <row r="18" spans="1:17" ht="30" customHeight="1">
      <c r="A18" s="2" t="str">
        <f>表格2[[#This Row],[站名]]&amp;表格2[[#This Row],[城市]]</f>
        <v>大屯山臺北市</v>
      </c>
      <c r="B18" s="1" t="s">
        <v>76</v>
      </c>
      <c r="C18" s="1" t="s">
        <v>77</v>
      </c>
      <c r="D18" s="1">
        <v>25.175699999999999</v>
      </c>
      <c r="E18" s="1">
        <v>121.5224</v>
      </c>
      <c r="F18" s="1" t="s">
        <v>78</v>
      </c>
      <c r="G18" s="1" t="s">
        <v>2536</v>
      </c>
      <c r="H18" s="1" t="s">
        <v>34</v>
      </c>
      <c r="I18" s="1" t="s">
        <v>79</v>
      </c>
      <c r="J18" s="1"/>
      <c r="K18" s="2">
        <v>38681</v>
      </c>
      <c r="L18" s="3" t="str">
        <f>_xlfn.XLOOKUP(A:A,Gemini建議!A:A,Gemini建議!B:B,"")</f>
        <v>高海拔測站 (全)</v>
      </c>
      <c r="M18" s="1"/>
      <c r="N18" s="1"/>
      <c r="O18" s="6" t="s">
        <v>2397</v>
      </c>
      <c r="P18" s="13">
        <v>42471</v>
      </c>
      <c r="Q18" s="13">
        <v>42471</v>
      </c>
    </row>
    <row r="19" spans="1:17" ht="30" customHeight="1">
      <c r="A19" s="2" t="str">
        <f>表格2[[#This Row],[站名]]&amp;表格2[[#This Row],[城市]]</f>
        <v>三峽新北市</v>
      </c>
      <c r="B19" s="1" t="s">
        <v>80</v>
      </c>
      <c r="C19" s="1" t="s">
        <v>81</v>
      </c>
      <c r="D19" s="1">
        <v>24.939</v>
      </c>
      <c r="E19" s="1">
        <v>121.36969999999999</v>
      </c>
      <c r="F19" s="1" t="s">
        <v>82</v>
      </c>
      <c r="G19" s="1" t="s">
        <v>2537</v>
      </c>
      <c r="H19" s="1" t="s">
        <v>12</v>
      </c>
      <c r="I19" s="1" t="s">
        <v>83</v>
      </c>
      <c r="J19" s="1"/>
      <c r="K19" s="2">
        <v>39912</v>
      </c>
      <c r="L19" s="3" t="str">
        <f>_xlfn.XLOOKUP(A:A,Gemini建議!A:A,Gemini建議!B:B,"")</f>
        <v>低海拔代表站</v>
      </c>
      <c r="M19" s="1"/>
      <c r="N19" s="1"/>
      <c r="O19" s="6" t="s">
        <v>2402</v>
      </c>
      <c r="P19" s="13">
        <v>42107</v>
      </c>
      <c r="Q19" s="13">
        <v>42107</v>
      </c>
    </row>
    <row r="20" spans="1:17" ht="30" hidden="1" customHeight="1">
      <c r="A20" s="2" t="str">
        <f>表格2[[#This Row],[站名]]&amp;表格2[[#This Row],[城市]]</f>
        <v>信義臺北市</v>
      </c>
      <c r="B20" s="1" t="s">
        <v>84</v>
      </c>
      <c r="C20" s="1" t="s">
        <v>85</v>
      </c>
      <c r="D20" s="1">
        <v>25.037800000000001</v>
      </c>
      <c r="E20" s="1">
        <v>121.5646</v>
      </c>
      <c r="F20" s="1" t="s">
        <v>86</v>
      </c>
      <c r="G20" s="1" t="s">
        <v>2536</v>
      </c>
      <c r="H20" s="1" t="s">
        <v>34</v>
      </c>
      <c r="I20" s="1" t="s">
        <v>87</v>
      </c>
      <c r="J20" s="1"/>
      <c r="K20" s="2">
        <v>39903</v>
      </c>
      <c r="L20" s="3" t="str">
        <f>_xlfn.XLOOKUP(A:A,Gemini建議!A:A,Gemini建議!B:B,"")</f>
        <v/>
      </c>
      <c r="M20" s="1"/>
      <c r="N20" s="1"/>
      <c r="O20" s="6" t="s">
        <v>2404</v>
      </c>
      <c r="P20" s="13">
        <v>42075</v>
      </c>
      <c r="Q20" s="13">
        <v>42075</v>
      </c>
    </row>
    <row r="21" spans="1:17" ht="30" hidden="1" customHeight="1">
      <c r="A21" s="2" t="str">
        <f>表格2[[#This Row],[站名]]&amp;表格2[[#This Row],[城市]]</f>
        <v>文山臺北市</v>
      </c>
      <c r="B21" s="1" t="s">
        <v>88</v>
      </c>
      <c r="C21" s="1" t="s">
        <v>89</v>
      </c>
      <c r="D21" s="1">
        <v>25.002300000000002</v>
      </c>
      <c r="E21" s="1">
        <v>121.5757</v>
      </c>
      <c r="F21" s="1" t="s">
        <v>46</v>
      </c>
      <c r="G21" s="1" t="s">
        <v>2536</v>
      </c>
      <c r="H21" s="1" t="s">
        <v>34</v>
      </c>
      <c r="I21" s="1" t="s">
        <v>90</v>
      </c>
      <c r="J21" s="1" t="s">
        <v>91</v>
      </c>
      <c r="K21" s="2">
        <v>40148</v>
      </c>
      <c r="L21" s="3" t="str">
        <f>_xlfn.XLOOKUP(A:A,Gemini建議!A:A,Gemini建議!B:B,"")</f>
        <v/>
      </c>
      <c r="M21" s="1"/>
      <c r="N21" s="1"/>
      <c r="O21" s="6" t="s">
        <v>2400</v>
      </c>
      <c r="P21" s="13">
        <v>41911</v>
      </c>
      <c r="Q21" s="13">
        <v>41911</v>
      </c>
    </row>
    <row r="22" spans="1:17" ht="30" hidden="1" customHeight="1">
      <c r="A22" s="2" t="str">
        <f>表格2[[#This Row],[站名]]&amp;表格2[[#This Row],[城市]]</f>
        <v>新莊新北市</v>
      </c>
      <c r="B22" s="1" t="s">
        <v>92</v>
      </c>
      <c r="C22" s="1" t="s">
        <v>93</v>
      </c>
      <c r="D22" s="1">
        <v>25.051500000000001</v>
      </c>
      <c r="E22" s="1">
        <v>121.4468</v>
      </c>
      <c r="F22" s="1" t="s">
        <v>94</v>
      </c>
      <c r="G22" s="1" t="s">
        <v>2537</v>
      </c>
      <c r="H22" s="1" t="s">
        <v>12</v>
      </c>
      <c r="I22" s="1" t="s">
        <v>95</v>
      </c>
      <c r="J22" s="1" t="s">
        <v>96</v>
      </c>
      <c r="K22" s="2">
        <v>40148</v>
      </c>
      <c r="L22" s="3" t="str">
        <f>_xlfn.XLOOKUP(A:A,Gemini建議!A:A,Gemini建議!B:B,"")</f>
        <v/>
      </c>
      <c r="M22" s="1"/>
      <c r="N22" s="1"/>
      <c r="O22" s="6" t="s">
        <v>2395</v>
      </c>
      <c r="P22" s="13">
        <v>41382</v>
      </c>
      <c r="Q22" s="13">
        <v>41411</v>
      </c>
    </row>
    <row r="23" spans="1:17" ht="30" hidden="1" customHeight="1">
      <c r="A23" s="2" t="str">
        <f>表格2[[#This Row],[站名]]&amp;表格2[[#This Row],[城市]]</f>
        <v>八里新北市</v>
      </c>
      <c r="B23" s="1" t="s">
        <v>97</v>
      </c>
      <c r="C23" s="1" t="s">
        <v>98</v>
      </c>
      <c r="D23" s="1">
        <v>25.150200000000002</v>
      </c>
      <c r="E23" s="1">
        <v>121.40389999999999</v>
      </c>
      <c r="F23" s="1" t="s">
        <v>99</v>
      </c>
      <c r="G23" s="1" t="s">
        <v>2537</v>
      </c>
      <c r="H23" s="1" t="s">
        <v>12</v>
      </c>
      <c r="I23" s="1" t="s">
        <v>100</v>
      </c>
      <c r="J23" s="1"/>
      <c r="K23" s="2">
        <v>40044</v>
      </c>
      <c r="L23" s="3" t="str">
        <f>_xlfn.XLOOKUP(A:A,Gemini建議!A:A,Gemini建議!B:B,"")</f>
        <v/>
      </c>
      <c r="M23" s="1"/>
      <c r="N23" s="1"/>
      <c r="O23" s="6" t="s">
        <v>2406</v>
      </c>
      <c r="P23" s="13">
        <v>35674</v>
      </c>
      <c r="Q23" s="13">
        <v>38681</v>
      </c>
    </row>
    <row r="24" spans="1:17" ht="30" hidden="1" customHeight="1">
      <c r="A24" s="2" t="str">
        <f>表格2[[#This Row],[站名]]&amp;表格2[[#This Row],[城市]]</f>
        <v>蘆洲新北市</v>
      </c>
      <c r="B24" s="1" t="s">
        <v>101</v>
      </c>
      <c r="C24" s="1" t="s">
        <v>102</v>
      </c>
      <c r="D24" s="1">
        <v>25.086600000000001</v>
      </c>
      <c r="E24" s="1">
        <v>121.4723</v>
      </c>
      <c r="F24" s="1" t="s">
        <v>103</v>
      </c>
      <c r="G24" s="1" t="s">
        <v>2537</v>
      </c>
      <c r="H24" s="1" t="s">
        <v>12</v>
      </c>
      <c r="I24" s="1" t="s">
        <v>104</v>
      </c>
      <c r="J24" s="1"/>
      <c r="K24" s="2">
        <v>40057</v>
      </c>
      <c r="L24" s="3" t="str">
        <f>_xlfn.XLOOKUP(A:A,Gemini建議!A:A,Gemini建議!B:B,"")</f>
        <v/>
      </c>
      <c r="M24" s="1"/>
      <c r="N24" s="1"/>
      <c r="O24" s="6" t="s">
        <v>2398</v>
      </c>
      <c r="P24" s="13">
        <v>33950</v>
      </c>
      <c r="Q24" s="13">
        <v>33950</v>
      </c>
    </row>
    <row r="25" spans="1:17" ht="30" hidden="1" customHeight="1">
      <c r="A25" s="2" t="str">
        <f>表格2[[#This Row],[站名]]&amp;表格2[[#This Row],[城市]]</f>
        <v>土城新北市</v>
      </c>
      <c r="B25" s="1" t="s">
        <v>105</v>
      </c>
      <c r="C25" s="1" t="s">
        <v>106</v>
      </c>
      <c r="D25" s="1">
        <v>24.973199999999999</v>
      </c>
      <c r="E25" s="1">
        <v>121.4452</v>
      </c>
      <c r="F25" s="1" t="s">
        <v>107</v>
      </c>
      <c r="G25" s="1" t="s">
        <v>2537</v>
      </c>
      <c r="H25" s="1" t="s">
        <v>12</v>
      </c>
      <c r="I25" s="1" t="s">
        <v>108</v>
      </c>
      <c r="J25" s="1"/>
      <c r="K25" s="2">
        <v>40061</v>
      </c>
      <c r="L25" s="3" t="str">
        <f>_xlfn.XLOOKUP(A:A,Gemini建議!A:A,Gemini建議!B:B,"")</f>
        <v/>
      </c>
      <c r="M25" s="1"/>
      <c r="N25" s="1"/>
      <c r="O25" s="6" t="s">
        <v>2408</v>
      </c>
      <c r="P25" s="13">
        <v>32423</v>
      </c>
      <c r="Q25" s="13">
        <v>32423</v>
      </c>
    </row>
    <row r="26" spans="1:17" ht="30" hidden="1" customHeight="1">
      <c r="A26" s="2" t="str">
        <f>表格2[[#This Row],[站名]]&amp;表格2[[#This Row],[城市]]</f>
        <v>鶯歌新北市</v>
      </c>
      <c r="B26" s="1" t="s">
        <v>109</v>
      </c>
      <c r="C26" s="1" t="s">
        <v>110</v>
      </c>
      <c r="D26" s="1">
        <v>24.951499999999999</v>
      </c>
      <c r="E26" s="1">
        <v>121.3463</v>
      </c>
      <c r="F26" s="1" t="s">
        <v>111</v>
      </c>
      <c r="G26" s="1" t="s">
        <v>2537</v>
      </c>
      <c r="H26" s="1" t="s">
        <v>12</v>
      </c>
      <c r="I26" s="1" t="s">
        <v>112</v>
      </c>
      <c r="J26" s="1"/>
      <c r="K26" s="2">
        <v>40059</v>
      </c>
      <c r="L26" s="3" t="str">
        <f>_xlfn.XLOOKUP(A:A,Gemini建議!A:A,Gemini建議!B:B,"")</f>
        <v/>
      </c>
      <c r="M26" s="1"/>
      <c r="N26" s="1"/>
      <c r="O26" s="6" t="s">
        <v>2410</v>
      </c>
      <c r="P26" s="13">
        <v>31929</v>
      </c>
      <c r="Q26" s="13">
        <v>45828</v>
      </c>
    </row>
    <row r="27" spans="1:17" ht="30" hidden="1" customHeight="1">
      <c r="A27" s="2" t="str">
        <f>表格2[[#This Row],[站名]]&amp;表格2[[#This Row],[城市]]</f>
        <v>中和新北市</v>
      </c>
      <c r="B27" s="1" t="s">
        <v>113</v>
      </c>
      <c r="C27" s="1" t="s">
        <v>114</v>
      </c>
      <c r="D27" s="1">
        <v>24.991599999999998</v>
      </c>
      <c r="E27" s="1">
        <v>121.4918</v>
      </c>
      <c r="F27" s="1" t="s">
        <v>11</v>
      </c>
      <c r="G27" s="1" t="s">
        <v>2537</v>
      </c>
      <c r="H27" s="1" t="s">
        <v>12</v>
      </c>
      <c r="I27" s="1" t="s">
        <v>115</v>
      </c>
      <c r="J27" s="1"/>
      <c r="K27" s="2">
        <v>44487</v>
      </c>
      <c r="L27" s="3" t="str">
        <f>_xlfn.XLOOKUP(A:A,Gemini建議!A:A,Gemini建議!B:B,"")</f>
        <v/>
      </c>
      <c r="M27" s="1"/>
      <c r="N27" s="1"/>
    </row>
    <row r="28" spans="1:17" ht="30" hidden="1" customHeight="1">
      <c r="A28" s="2" t="str">
        <f>表格2[[#This Row],[站名]]&amp;表格2[[#This Row],[城市]]</f>
        <v>汐止新北市</v>
      </c>
      <c r="B28" s="1" t="s">
        <v>116</v>
      </c>
      <c r="C28" s="1" t="s">
        <v>117</v>
      </c>
      <c r="D28" s="1">
        <v>25.0669</v>
      </c>
      <c r="E28" s="1">
        <v>121.6588</v>
      </c>
      <c r="F28" s="1" t="s">
        <v>118</v>
      </c>
      <c r="G28" s="1" t="s">
        <v>2537</v>
      </c>
      <c r="H28" s="1" t="s">
        <v>12</v>
      </c>
      <c r="I28" s="1" t="s">
        <v>119</v>
      </c>
      <c r="J28" s="1"/>
      <c r="K28" s="2">
        <v>40763</v>
      </c>
      <c r="L28" s="3" t="str">
        <f>_xlfn.XLOOKUP(A:A,Gemini建議!A:A,Gemini建議!B:B,"")</f>
        <v/>
      </c>
      <c r="M28" s="1"/>
      <c r="N28" s="1"/>
    </row>
    <row r="29" spans="1:17" ht="30" hidden="1" customHeight="1">
      <c r="A29" s="2" t="str">
        <f>表格2[[#This Row],[站名]]&amp;表格2[[#This Row],[城市]]</f>
        <v>永和新北市</v>
      </c>
      <c r="B29" s="1" t="s">
        <v>120</v>
      </c>
      <c r="C29" s="1" t="s">
        <v>121</v>
      </c>
      <c r="D29" s="1">
        <v>25.011299999999999</v>
      </c>
      <c r="E29" s="1">
        <v>121.5081</v>
      </c>
      <c r="F29" s="1" t="s">
        <v>122</v>
      </c>
      <c r="G29" s="1" t="s">
        <v>2537</v>
      </c>
      <c r="H29" s="1" t="s">
        <v>12</v>
      </c>
      <c r="I29" s="1" t="s">
        <v>123</v>
      </c>
      <c r="J29" s="1"/>
      <c r="K29" s="2">
        <v>41632</v>
      </c>
      <c r="L29" s="3" t="str">
        <f>_xlfn.XLOOKUP(A:A,Gemini建議!A:A,Gemini建議!B:B,"")</f>
        <v/>
      </c>
      <c r="M29" s="1"/>
      <c r="N29" s="1"/>
    </row>
    <row r="30" spans="1:17" ht="30" customHeight="1">
      <c r="A30" s="2" t="str">
        <f>表格2[[#This Row],[站名]]&amp;表格2[[#This Row],[城市]]</f>
        <v>五分山新北市</v>
      </c>
      <c r="B30" s="1" t="s">
        <v>124</v>
      </c>
      <c r="C30" s="1" t="s">
        <v>125</v>
      </c>
      <c r="D30" s="1">
        <v>25.071200000000001</v>
      </c>
      <c r="E30" s="1">
        <v>121.7808</v>
      </c>
      <c r="F30" s="1" t="s">
        <v>126</v>
      </c>
      <c r="G30" s="1" t="s">
        <v>2537</v>
      </c>
      <c r="H30" s="1" t="s">
        <v>12</v>
      </c>
      <c r="I30" s="1" t="s">
        <v>127</v>
      </c>
      <c r="J30" s="1"/>
      <c r="K30" s="2">
        <v>42285</v>
      </c>
      <c r="L30" s="3" t="str">
        <f>_xlfn.XLOOKUP(A:A,Gemini建議!A:A,Gemini建議!B:B,"")</f>
        <v>高海拔測站 (全)</v>
      </c>
      <c r="M30" s="1"/>
      <c r="N30" s="1"/>
    </row>
    <row r="31" spans="1:17" ht="30" hidden="1" customHeight="1">
      <c r="A31" s="2" t="str">
        <f>表格2[[#This Row],[站名]]&amp;表格2[[#This Row],[城市]]</f>
        <v>平等臺北市</v>
      </c>
      <c r="B31" s="1" t="s">
        <v>128</v>
      </c>
      <c r="C31" s="1" t="s">
        <v>129</v>
      </c>
      <c r="D31" s="1">
        <v>25.129100000000001</v>
      </c>
      <c r="E31" s="1">
        <v>121.5771</v>
      </c>
      <c r="F31" s="1" t="s">
        <v>130</v>
      </c>
      <c r="G31" s="1" t="s">
        <v>2536</v>
      </c>
      <c r="H31" s="1" t="s">
        <v>34</v>
      </c>
      <c r="I31" s="1" t="s">
        <v>131</v>
      </c>
      <c r="J31" s="1"/>
      <c r="K31" s="2">
        <v>42540</v>
      </c>
      <c r="L31" s="3" t="str">
        <f>_xlfn.XLOOKUP(A:A,Gemini建議!A:A,Gemini建議!B:B,"")</f>
        <v/>
      </c>
      <c r="M31" s="1"/>
      <c r="N31" s="1"/>
    </row>
    <row r="32" spans="1:17" ht="30" hidden="1" customHeight="1">
      <c r="A32" s="2" t="str">
        <f>表格2[[#This Row],[站名]]&amp;表格2[[#This Row],[城市]]</f>
        <v>林口新北市</v>
      </c>
      <c r="B32" s="1" t="s">
        <v>132</v>
      </c>
      <c r="C32" s="1" t="s">
        <v>133</v>
      </c>
      <c r="D32" s="1">
        <v>25.072199999999999</v>
      </c>
      <c r="E32" s="1">
        <v>121.38079999999999</v>
      </c>
      <c r="F32" s="1" t="s">
        <v>134</v>
      </c>
      <c r="G32" s="1" t="s">
        <v>2537</v>
      </c>
      <c r="H32" s="1" t="s">
        <v>12</v>
      </c>
      <c r="I32" s="1" t="s">
        <v>135</v>
      </c>
      <c r="J32" s="1"/>
      <c r="K32" s="2">
        <v>42739</v>
      </c>
      <c r="L32" s="3" t="str">
        <f>_xlfn.XLOOKUP(A:A,Gemini建議!A:A,Gemini建議!B:B,"")</f>
        <v/>
      </c>
      <c r="M32" s="1"/>
      <c r="N32" s="1"/>
    </row>
    <row r="33" spans="1:14" ht="30" hidden="1" customHeight="1">
      <c r="A33" s="2" t="str">
        <f>表格2[[#This Row],[站名]]&amp;表格2[[#This Row],[城市]]</f>
        <v>松山臺北市</v>
      </c>
      <c r="B33" s="1" t="s">
        <v>136</v>
      </c>
      <c r="C33" s="1" t="s">
        <v>137</v>
      </c>
      <c r="D33" s="1">
        <v>25.0487</v>
      </c>
      <c r="E33" s="1">
        <v>121.5504</v>
      </c>
      <c r="F33" s="1" t="s">
        <v>138</v>
      </c>
      <c r="G33" s="1" t="s">
        <v>2536</v>
      </c>
      <c r="H33" s="1" t="s">
        <v>34</v>
      </c>
      <c r="I33" s="1" t="s">
        <v>139</v>
      </c>
      <c r="J33" s="1" t="s">
        <v>140</v>
      </c>
      <c r="K33" s="2">
        <v>42851</v>
      </c>
      <c r="L33" s="3" t="str">
        <f>_xlfn.XLOOKUP(A:A,Gemini建議!A:A,Gemini建議!B:B,"")</f>
        <v/>
      </c>
      <c r="M33" s="1"/>
      <c r="N33" s="1"/>
    </row>
    <row r="34" spans="1:14" ht="30" hidden="1" customHeight="1">
      <c r="A34" s="2" t="str">
        <f>表格2[[#This Row],[站名]]&amp;表格2[[#This Row],[城市]]</f>
        <v>深坑新北市</v>
      </c>
      <c r="B34" s="1" t="s">
        <v>141</v>
      </c>
      <c r="C34" s="1" t="s">
        <v>142</v>
      </c>
      <c r="D34" s="1">
        <v>25.002700000000001</v>
      </c>
      <c r="E34" s="1">
        <v>121.6283</v>
      </c>
      <c r="F34" s="1" t="s">
        <v>143</v>
      </c>
      <c r="G34" s="1" t="s">
        <v>2537</v>
      </c>
      <c r="H34" s="1" t="s">
        <v>12</v>
      </c>
      <c r="I34" s="1" t="s">
        <v>144</v>
      </c>
      <c r="J34" s="1"/>
      <c r="K34" s="2">
        <v>42949</v>
      </c>
      <c r="L34" s="3" t="str">
        <f>_xlfn.XLOOKUP(A:A,Gemini建議!A:A,Gemini建議!B:B,"")</f>
        <v/>
      </c>
      <c r="M34" s="1"/>
      <c r="N34" s="1"/>
    </row>
    <row r="35" spans="1:14" ht="30" customHeight="1">
      <c r="A35" s="2" t="str">
        <f>表格2[[#This Row],[站名]]&amp;表格2[[#This Row],[城市]]</f>
        <v>福山植物園新北市</v>
      </c>
      <c r="B35" s="1" t="s">
        <v>145</v>
      </c>
      <c r="C35" s="1" t="s">
        <v>146</v>
      </c>
      <c r="D35" s="1">
        <v>24.7607</v>
      </c>
      <c r="E35" s="1">
        <v>121.5814</v>
      </c>
      <c r="F35" s="1" t="s">
        <v>147</v>
      </c>
      <c r="G35" s="1" t="s">
        <v>2537</v>
      </c>
      <c r="H35" s="1" t="s">
        <v>12</v>
      </c>
      <c r="I35" s="1" t="s">
        <v>148</v>
      </c>
      <c r="J35" s="1"/>
      <c r="K35" s="2">
        <v>43182</v>
      </c>
      <c r="L35" s="3" t="str">
        <f>_xlfn.XLOOKUP(A:A,Gemini建議!A:A,Gemini建議!B:B,"")</f>
        <v>高海拔測站 (全)</v>
      </c>
      <c r="M35" s="1"/>
      <c r="N35" s="1"/>
    </row>
    <row r="36" spans="1:14" ht="30" hidden="1" customHeight="1">
      <c r="A36" s="2" t="str">
        <f>表格2[[#This Row],[站名]]&amp;表格2[[#This Row],[城市]]</f>
        <v>五股新北市</v>
      </c>
      <c r="B36" s="1" t="s">
        <v>149</v>
      </c>
      <c r="C36" s="1" t="s">
        <v>150</v>
      </c>
      <c r="D36" s="1">
        <v>25.074400000000001</v>
      </c>
      <c r="E36" s="1">
        <v>121.4273</v>
      </c>
      <c r="F36" s="1" t="s">
        <v>151</v>
      </c>
      <c r="G36" s="1" t="s">
        <v>2537</v>
      </c>
      <c r="H36" s="1" t="s">
        <v>12</v>
      </c>
      <c r="I36" s="1" t="s">
        <v>152</v>
      </c>
      <c r="J36" s="1"/>
      <c r="K36" s="2">
        <v>43291</v>
      </c>
      <c r="L36" s="3" t="str">
        <f>_xlfn.XLOOKUP(A:A,Gemini建議!A:A,Gemini建議!B:B,"")</f>
        <v/>
      </c>
      <c r="M36" s="1"/>
      <c r="N36" s="1"/>
    </row>
    <row r="37" spans="1:14" ht="30" hidden="1" customHeight="1">
      <c r="A37" s="2" t="str">
        <f>表格2[[#This Row],[站名]]&amp;表格2[[#This Row],[城市]]</f>
        <v>屈尺新北市</v>
      </c>
      <c r="B37" s="1" t="s">
        <v>153</v>
      </c>
      <c r="C37" s="1" t="s">
        <v>154</v>
      </c>
      <c r="D37" s="1">
        <v>24.921800000000001</v>
      </c>
      <c r="E37" s="1">
        <v>121.54470000000001</v>
      </c>
      <c r="F37" s="1" t="s">
        <v>155</v>
      </c>
      <c r="G37" s="1" t="s">
        <v>2537</v>
      </c>
      <c r="H37" s="1" t="s">
        <v>12</v>
      </c>
      <c r="I37" s="1" t="s">
        <v>156</v>
      </c>
      <c r="J37" s="1"/>
      <c r="K37" s="2">
        <v>43424</v>
      </c>
      <c r="L37" s="3" t="str">
        <f>_xlfn.XLOOKUP(A:A,Gemini建議!A:A,Gemini建議!B:B,"")</f>
        <v/>
      </c>
      <c r="M37" s="1"/>
      <c r="N37" s="1"/>
    </row>
    <row r="38" spans="1:14" ht="30" hidden="1" customHeight="1">
      <c r="A38" s="2" t="str">
        <f>表格2[[#This Row],[站名]]&amp;表格2[[#This Row],[城市]]</f>
        <v>白沙灣新北市</v>
      </c>
      <c r="B38" s="1" t="s">
        <v>157</v>
      </c>
      <c r="C38" s="1" t="s">
        <v>158</v>
      </c>
      <c r="D38" s="1">
        <v>25.283100000000001</v>
      </c>
      <c r="E38" s="1">
        <v>121.51909999999999</v>
      </c>
      <c r="F38" s="1" t="s">
        <v>94</v>
      </c>
      <c r="G38" s="1" t="s">
        <v>2537</v>
      </c>
      <c r="H38" s="1" t="s">
        <v>12</v>
      </c>
      <c r="I38" s="1" t="s">
        <v>159</v>
      </c>
      <c r="J38" s="1"/>
      <c r="K38" s="2">
        <v>43432</v>
      </c>
      <c r="L38" s="3" t="str">
        <f>_xlfn.XLOOKUP(A:A,Gemini建議!A:A,Gemini建議!B:B,"")</f>
        <v/>
      </c>
      <c r="M38" s="1"/>
      <c r="N38" s="1"/>
    </row>
    <row r="39" spans="1:14" ht="30" hidden="1" customHeight="1">
      <c r="A39" s="2" t="str">
        <f>表格2[[#This Row],[站名]]&amp;表格2[[#This Row],[城市]]</f>
        <v>三重新北市</v>
      </c>
      <c r="B39" s="1" t="s">
        <v>160</v>
      </c>
      <c r="C39" s="1" t="s">
        <v>161</v>
      </c>
      <c r="D39" s="1">
        <v>25.057300000000001</v>
      </c>
      <c r="E39" s="1">
        <v>121.50060000000001</v>
      </c>
      <c r="F39" s="1" t="s">
        <v>162</v>
      </c>
      <c r="G39" s="1" t="s">
        <v>2537</v>
      </c>
      <c r="H39" s="1" t="s">
        <v>12</v>
      </c>
      <c r="I39" s="1" t="s">
        <v>163</v>
      </c>
      <c r="J39" s="1" t="s">
        <v>164</v>
      </c>
      <c r="K39" s="2">
        <v>43679</v>
      </c>
      <c r="L39" s="3" t="str">
        <f>_xlfn.XLOOKUP(A:A,Gemini建議!A:A,Gemini建議!B:B,"")</f>
        <v/>
      </c>
      <c r="M39" s="1"/>
      <c r="N39" s="1"/>
    </row>
    <row r="40" spans="1:14" ht="30" hidden="1" customHeight="1">
      <c r="A40" s="2" t="str">
        <f>表格2[[#This Row],[站名]]&amp;表格2[[#This Row],[城市]]</f>
        <v>石牌臺北市</v>
      </c>
      <c r="B40" s="1" t="s">
        <v>165</v>
      </c>
      <c r="C40" s="1" t="s">
        <v>166</v>
      </c>
      <c r="D40" s="1">
        <v>25.115600000000001</v>
      </c>
      <c r="E40" s="1">
        <v>121.51309999999999</v>
      </c>
      <c r="F40" s="1" t="s">
        <v>71</v>
      </c>
      <c r="G40" s="1" t="s">
        <v>2536</v>
      </c>
      <c r="H40" s="1" t="s">
        <v>34</v>
      </c>
      <c r="I40" s="1" t="s">
        <v>167</v>
      </c>
      <c r="J40" s="1" t="s">
        <v>168</v>
      </c>
      <c r="K40" s="2">
        <v>43718</v>
      </c>
      <c r="L40" s="3" t="str">
        <f>_xlfn.XLOOKUP(A:A,Gemini建議!A:A,Gemini建議!B:B,"")</f>
        <v/>
      </c>
      <c r="M40" s="1"/>
      <c r="N40" s="1"/>
    </row>
    <row r="41" spans="1:14" ht="30" hidden="1" customHeight="1">
      <c r="A41" s="2" t="str">
        <f>表格2[[#This Row],[站名]]&amp;表格2[[#This Row],[城市]]</f>
        <v>野柳新北市</v>
      </c>
      <c r="B41" s="1" t="s">
        <v>169</v>
      </c>
      <c r="C41" s="1" t="s">
        <v>170</v>
      </c>
      <c r="D41" s="1">
        <v>25.207000000000001</v>
      </c>
      <c r="E41" s="1">
        <v>121.69</v>
      </c>
      <c r="F41" s="1" t="s">
        <v>171</v>
      </c>
      <c r="G41" s="1" t="s">
        <v>2537</v>
      </c>
      <c r="H41" s="1" t="s">
        <v>12</v>
      </c>
      <c r="I41" s="1" t="s">
        <v>172</v>
      </c>
      <c r="J41" s="1"/>
      <c r="K41" s="2">
        <v>44629</v>
      </c>
      <c r="L41" s="3" t="str">
        <f>_xlfn.XLOOKUP(A:A,Gemini建議!A:A,Gemini建議!B:B,"")</f>
        <v/>
      </c>
      <c r="M41" s="1"/>
      <c r="N41" s="1"/>
    </row>
    <row r="42" spans="1:14" ht="30" hidden="1" customHeight="1">
      <c r="A42" s="2" t="str">
        <f>表格2[[#This Row],[站名]]&amp;表格2[[#This Row],[城市]]</f>
        <v>淡水觀海新北市</v>
      </c>
      <c r="B42" s="1" t="s">
        <v>173</v>
      </c>
      <c r="C42" s="1" t="s">
        <v>174</v>
      </c>
      <c r="D42" s="1">
        <v>25.1846</v>
      </c>
      <c r="E42" s="1">
        <v>121.40860000000001</v>
      </c>
      <c r="F42" s="1" t="s">
        <v>175</v>
      </c>
      <c r="G42" s="1" t="s">
        <v>2537</v>
      </c>
      <c r="H42" s="1" t="s">
        <v>12</v>
      </c>
      <c r="I42" s="1" t="s">
        <v>176</v>
      </c>
      <c r="J42" s="1"/>
      <c r="K42" s="2">
        <v>44629</v>
      </c>
      <c r="L42" s="3" t="str">
        <f>_xlfn.XLOOKUP(A:A,Gemini建議!A:A,Gemini建議!B:B,"")</f>
        <v/>
      </c>
      <c r="M42" s="1"/>
      <c r="N42" s="1"/>
    </row>
    <row r="43" spans="1:14" ht="30" hidden="1" customHeight="1">
      <c r="A43" s="2" t="str">
        <f>表格2[[#This Row],[站名]]&amp;表格2[[#This Row],[城市]]</f>
        <v>石門新北市</v>
      </c>
      <c r="B43" s="1" t="s">
        <v>177</v>
      </c>
      <c r="C43" s="1" t="s">
        <v>178</v>
      </c>
      <c r="D43" s="1">
        <v>25.273700000000002</v>
      </c>
      <c r="E43" s="1">
        <v>121.60120000000001</v>
      </c>
      <c r="F43" s="1" t="s">
        <v>179</v>
      </c>
      <c r="G43" s="1" t="s">
        <v>2537</v>
      </c>
      <c r="H43" s="1" t="s">
        <v>12</v>
      </c>
      <c r="I43" s="1" t="s">
        <v>180</v>
      </c>
      <c r="J43" s="1"/>
      <c r="K43" s="2">
        <v>44629</v>
      </c>
      <c r="L43" s="3" t="str">
        <f>_xlfn.XLOOKUP(A:A,Gemini建議!A:A,Gemini建議!B:B,"")</f>
        <v/>
      </c>
      <c r="M43" s="1"/>
      <c r="N43" s="1"/>
    </row>
    <row r="44" spans="1:14" ht="30" hidden="1" customHeight="1">
      <c r="A44" s="2" t="str">
        <f>表格2[[#This Row],[站名]]&amp;表格2[[#This Row],[城市]]</f>
        <v>水湳洞新北市</v>
      </c>
      <c r="B44" s="1" t="s">
        <v>181</v>
      </c>
      <c r="C44" s="1" t="s">
        <v>182</v>
      </c>
      <c r="D44" s="1">
        <v>25.123699999999999</v>
      </c>
      <c r="E44" s="1">
        <v>121.8622</v>
      </c>
      <c r="F44" s="1" t="s">
        <v>122</v>
      </c>
      <c r="G44" s="1" t="s">
        <v>2537</v>
      </c>
      <c r="H44" s="1" t="s">
        <v>12</v>
      </c>
      <c r="I44" s="1" t="s">
        <v>183</v>
      </c>
      <c r="J44" s="1"/>
      <c r="K44" s="2">
        <v>44629</v>
      </c>
      <c r="L44" s="3" t="str">
        <f>_xlfn.XLOOKUP(A:A,Gemini建議!A:A,Gemini建議!B:B,"")</f>
        <v/>
      </c>
      <c r="M44" s="1"/>
      <c r="N44" s="1"/>
    </row>
    <row r="45" spans="1:14" ht="30" hidden="1" customHeight="1">
      <c r="A45" s="2" t="str">
        <f>表格2[[#This Row],[站名]]&amp;表格2[[#This Row],[城市]]</f>
        <v>六塊厝新北市</v>
      </c>
      <c r="B45" s="1" t="s">
        <v>184</v>
      </c>
      <c r="C45" s="1" t="s">
        <v>185</v>
      </c>
      <c r="D45" s="1">
        <v>25.24</v>
      </c>
      <c r="E45" s="1">
        <v>121.4481</v>
      </c>
      <c r="F45" s="1" t="s">
        <v>186</v>
      </c>
      <c r="G45" s="1" t="s">
        <v>2537</v>
      </c>
      <c r="H45" s="1" t="s">
        <v>12</v>
      </c>
      <c r="I45" s="1" t="s">
        <v>187</v>
      </c>
      <c r="J45" s="1"/>
      <c r="K45" s="2">
        <v>44921</v>
      </c>
      <c r="L45" s="3" t="str">
        <f>_xlfn.XLOOKUP(A:A,Gemini建議!A:A,Gemini建議!B:B,"")</f>
        <v/>
      </c>
      <c r="M45" s="1"/>
      <c r="N45" s="1"/>
    </row>
    <row r="46" spans="1:14" ht="30" hidden="1" customHeight="1">
      <c r="A46" s="2" t="str">
        <f>表格2[[#This Row],[站名]]&amp;表格2[[#This Row],[城市]]</f>
        <v>田寮新北市</v>
      </c>
      <c r="B46" s="1" t="s">
        <v>188</v>
      </c>
      <c r="C46" s="1" t="s">
        <v>189</v>
      </c>
      <c r="D46" s="1">
        <v>25.2698</v>
      </c>
      <c r="E46" s="1">
        <v>121.48860000000001</v>
      </c>
      <c r="F46" s="1" t="s">
        <v>190</v>
      </c>
      <c r="G46" s="1" t="s">
        <v>2537</v>
      </c>
      <c r="H46" s="1" t="s">
        <v>12</v>
      </c>
      <c r="I46" s="1" t="s">
        <v>191</v>
      </c>
      <c r="J46" s="1"/>
      <c r="K46" s="2">
        <v>44921</v>
      </c>
      <c r="L46" s="3" t="str">
        <f>_xlfn.XLOOKUP(A:A,Gemini建議!A:A,Gemini建議!B:B,"")</f>
        <v/>
      </c>
      <c r="M46" s="1"/>
      <c r="N46" s="1"/>
    </row>
    <row r="47" spans="1:14" ht="30" hidden="1" customHeight="1">
      <c r="A47" s="2" t="str">
        <f>表格2[[#This Row],[站名]]&amp;表格2[[#This Row],[城市]]</f>
        <v>板橋新北市</v>
      </c>
      <c r="B47" s="1" t="s">
        <v>192</v>
      </c>
      <c r="C47" s="1" t="s">
        <v>193</v>
      </c>
      <c r="D47" s="1">
        <v>25.0107</v>
      </c>
      <c r="E47" s="1">
        <v>121.44889999999999</v>
      </c>
      <c r="F47" s="1" t="s">
        <v>118</v>
      </c>
      <c r="G47" s="1" t="s">
        <v>2537</v>
      </c>
      <c r="H47" s="1" t="s">
        <v>12</v>
      </c>
      <c r="I47" s="1" t="s">
        <v>194</v>
      </c>
      <c r="J47" s="1" t="s">
        <v>195</v>
      </c>
      <c r="K47" s="2">
        <v>44929</v>
      </c>
      <c r="L47" s="3" t="str">
        <f>_xlfn.XLOOKUP(A:A,Gemini建議!A:A,Gemini建議!B:B,"")</f>
        <v/>
      </c>
      <c r="M47" s="1"/>
      <c r="N47" s="1"/>
    </row>
    <row r="48" spans="1:14" ht="30" hidden="1" customHeight="1">
      <c r="A48" s="2" t="str">
        <f>表格2[[#This Row],[站名]]&amp;表格2[[#This Row],[城市]]</f>
        <v>澳底新北市</v>
      </c>
      <c r="B48" s="1" t="s">
        <v>196</v>
      </c>
      <c r="C48" s="1" t="s">
        <v>197</v>
      </c>
      <c r="D48" s="1">
        <v>25.055199999999999</v>
      </c>
      <c r="E48" s="1">
        <v>121.92529999999999</v>
      </c>
      <c r="F48" s="1" t="s">
        <v>198</v>
      </c>
      <c r="G48" s="1" t="s">
        <v>2537</v>
      </c>
      <c r="H48" s="1" t="s">
        <v>12</v>
      </c>
      <c r="I48" s="1" t="s">
        <v>199</v>
      </c>
      <c r="J48" s="1" t="s">
        <v>200</v>
      </c>
      <c r="K48" s="2">
        <v>45093</v>
      </c>
      <c r="L48" s="3" t="str">
        <f>_xlfn.XLOOKUP(A:A,Gemini建議!A:A,Gemini建議!B:B,"")</f>
        <v/>
      </c>
      <c r="M48" s="1"/>
      <c r="N48" s="1"/>
    </row>
    <row r="49" spans="1:14" ht="30" hidden="1" customHeight="1">
      <c r="A49" s="2" t="str">
        <f>表格2[[#This Row],[站名]]&amp;表格2[[#This Row],[城市]]</f>
        <v>太平里新北市</v>
      </c>
      <c r="B49" s="1" t="s">
        <v>201</v>
      </c>
      <c r="C49" s="1" t="s">
        <v>202</v>
      </c>
      <c r="D49" s="1">
        <v>25.134899999999998</v>
      </c>
      <c r="E49" s="1">
        <v>121.36490000000001</v>
      </c>
      <c r="F49" s="1" t="s">
        <v>203</v>
      </c>
      <c r="G49" s="1" t="s">
        <v>2537</v>
      </c>
      <c r="H49" s="1" t="s">
        <v>12</v>
      </c>
      <c r="I49" s="1" t="s">
        <v>204</v>
      </c>
      <c r="J49" s="1"/>
      <c r="K49" s="2">
        <v>45693</v>
      </c>
      <c r="L49" s="3" t="str">
        <f>_xlfn.XLOOKUP(A:A,Gemini建議!A:A,Gemini建議!B:B,"")</f>
        <v/>
      </c>
      <c r="M49" s="1"/>
      <c r="N49" s="1"/>
    </row>
    <row r="50" spans="1:14" ht="30" customHeight="1">
      <c r="A50" s="2" t="str">
        <f>表格2[[#This Row],[站名]]&amp;表格2[[#This Row],[城市]]</f>
        <v>硬漢嶺新北市</v>
      </c>
      <c r="B50" s="1" t="s">
        <v>205</v>
      </c>
      <c r="C50" s="1" t="s">
        <v>206</v>
      </c>
      <c r="D50" s="1">
        <v>25.136099999999999</v>
      </c>
      <c r="E50" s="1">
        <v>121.4264</v>
      </c>
      <c r="F50" s="1" t="s">
        <v>207</v>
      </c>
      <c r="G50" s="1" t="s">
        <v>2537</v>
      </c>
      <c r="H50" s="1" t="s">
        <v>12</v>
      </c>
      <c r="I50" s="1" t="s">
        <v>208</v>
      </c>
      <c r="J50" s="1" t="s">
        <v>209</v>
      </c>
      <c r="K50" s="2">
        <v>45754</v>
      </c>
      <c r="L50" s="3" t="str">
        <f>_xlfn.XLOOKUP(A:A,Gemini建議!A:A,Gemini建議!B:B,"")</f>
        <v>高海拔測站 (全)</v>
      </c>
      <c r="M50" s="1"/>
      <c r="N50" s="1"/>
    </row>
    <row r="51" spans="1:14" ht="30" customHeight="1">
      <c r="A51" s="2" t="str">
        <f>表格2[[#This Row],[站名]]&amp;表格2[[#This Row],[城市]]</f>
        <v>七堵基隆市</v>
      </c>
      <c r="B51" s="1" t="s">
        <v>210</v>
      </c>
      <c r="C51" s="1" t="s">
        <v>211</v>
      </c>
      <c r="D51" s="1">
        <v>25.094799999999999</v>
      </c>
      <c r="E51" s="1">
        <v>121.7171</v>
      </c>
      <c r="F51" s="1" t="s">
        <v>118</v>
      </c>
      <c r="G51" s="1" t="s">
        <v>2557</v>
      </c>
      <c r="H51" s="1" t="s">
        <v>212</v>
      </c>
      <c r="I51" s="1" t="s">
        <v>213</v>
      </c>
      <c r="J51" s="1"/>
      <c r="K51" s="2">
        <v>43274</v>
      </c>
      <c r="L51" s="3" t="str">
        <f>_xlfn.XLOOKUP(A:A,Gemini建議!A:A,Gemini建議!B:B,"")</f>
        <v>低海拔代表站</v>
      </c>
      <c r="M51" s="1"/>
      <c r="N51" s="1"/>
    </row>
    <row r="52" spans="1:14" ht="30" hidden="1" customHeight="1">
      <c r="A52" s="2" t="str">
        <f>表格2[[#This Row],[站名]]&amp;表格2[[#This Row],[城市]]</f>
        <v>基隆嶼基隆市</v>
      </c>
      <c r="B52" s="1" t="s">
        <v>214</v>
      </c>
      <c r="C52" s="1" t="s">
        <v>215</v>
      </c>
      <c r="D52" s="1">
        <v>25.191400000000002</v>
      </c>
      <c r="E52" s="1">
        <v>121.7839</v>
      </c>
      <c r="F52" s="1" t="s">
        <v>216</v>
      </c>
      <c r="G52" s="1" t="s">
        <v>2557</v>
      </c>
      <c r="H52" s="1" t="s">
        <v>212</v>
      </c>
      <c r="I52" s="1" t="s">
        <v>217</v>
      </c>
      <c r="J52" s="1"/>
      <c r="K52" s="2">
        <v>43399</v>
      </c>
      <c r="L52" s="3" t="str">
        <f>_xlfn.XLOOKUP(A:A,Gemini建議!A:A,Gemini建議!B:B,"")</f>
        <v/>
      </c>
      <c r="M52" s="1"/>
      <c r="N52" s="1"/>
    </row>
    <row r="53" spans="1:14" ht="30" hidden="1" customHeight="1">
      <c r="A53" s="2" t="str">
        <f>表格2[[#This Row],[站名]]&amp;表格2[[#This Row],[城市]]</f>
        <v>大武崙基隆市</v>
      </c>
      <c r="B53" s="1" t="s">
        <v>218</v>
      </c>
      <c r="C53" s="1" t="s">
        <v>219</v>
      </c>
      <c r="D53" s="1">
        <v>25.166699999999999</v>
      </c>
      <c r="E53" s="1">
        <v>121.70699999999999</v>
      </c>
      <c r="F53" s="1" t="s">
        <v>220</v>
      </c>
      <c r="G53" s="1" t="s">
        <v>2557</v>
      </c>
      <c r="H53" s="1" t="s">
        <v>212</v>
      </c>
      <c r="I53" s="1" t="s">
        <v>221</v>
      </c>
      <c r="J53" s="1"/>
      <c r="K53" s="2">
        <v>44629</v>
      </c>
      <c r="L53" s="3" t="str">
        <f>_xlfn.XLOOKUP(A:A,Gemini建議!A:A,Gemini建議!B:B,"")</f>
        <v/>
      </c>
      <c r="M53" s="1"/>
      <c r="N53" s="1"/>
    </row>
    <row r="54" spans="1:14" ht="30" hidden="1" customHeight="1">
      <c r="A54" s="2" t="str">
        <f>表格2[[#This Row],[站名]]&amp;表格2[[#This Row],[城市]]</f>
        <v>八斗子基隆市</v>
      </c>
      <c r="B54" s="1" t="s">
        <v>222</v>
      </c>
      <c r="C54" s="1" t="s">
        <v>223</v>
      </c>
      <c r="D54" s="1">
        <v>25.1448</v>
      </c>
      <c r="E54" s="1">
        <v>121.79170000000001</v>
      </c>
      <c r="F54" s="1" t="s">
        <v>224</v>
      </c>
      <c r="G54" s="1" t="s">
        <v>2557</v>
      </c>
      <c r="H54" s="1" t="s">
        <v>212</v>
      </c>
      <c r="I54" s="1" t="s">
        <v>225</v>
      </c>
      <c r="J54" s="1"/>
      <c r="K54" s="2">
        <v>44629</v>
      </c>
      <c r="L54" s="3" t="str">
        <f>_xlfn.XLOOKUP(A:A,Gemini建議!A:A,Gemini建議!B:B,"")</f>
        <v/>
      </c>
      <c r="M54" s="1"/>
      <c r="N54" s="1"/>
    </row>
    <row r="55" spans="1:14" ht="30" hidden="1" customHeight="1">
      <c r="A55" s="2" t="str">
        <f>表格2[[#This Row],[站名]]&amp;表格2[[#This Row],[城市]]</f>
        <v>暖暖基隆市</v>
      </c>
      <c r="B55" s="1" t="s">
        <v>226</v>
      </c>
      <c r="C55" s="1" t="s">
        <v>227</v>
      </c>
      <c r="D55" s="1">
        <v>25.095700000000001</v>
      </c>
      <c r="E55" s="1">
        <v>121.7403</v>
      </c>
      <c r="F55" s="1" t="s">
        <v>228</v>
      </c>
      <c r="G55" s="1" t="s">
        <v>2557</v>
      </c>
      <c r="H55" s="1" t="s">
        <v>212</v>
      </c>
      <c r="I55" s="1" t="s">
        <v>229</v>
      </c>
      <c r="J55" s="1"/>
      <c r="K55" s="2">
        <v>44940</v>
      </c>
      <c r="L55" s="3" t="str">
        <f>_xlfn.XLOOKUP(A:A,Gemini建議!A:A,Gemini建議!B:B,"")</f>
        <v/>
      </c>
      <c r="M55" s="1"/>
      <c r="N55" s="1"/>
    </row>
    <row r="56" spans="1:14" ht="30" customHeight="1">
      <c r="A56" s="2" t="str">
        <f>表格2[[#This Row],[站名]]&amp;表格2[[#This Row],[城市]]</f>
        <v>復興桃園市</v>
      </c>
      <c r="B56" s="1" t="s">
        <v>230</v>
      </c>
      <c r="C56" s="1" t="s">
        <v>231</v>
      </c>
      <c r="D56" s="1">
        <v>24.8202</v>
      </c>
      <c r="E56" s="1">
        <v>121.3523</v>
      </c>
      <c r="F56" s="1" t="s">
        <v>232</v>
      </c>
      <c r="G56" s="1" t="s">
        <v>2538</v>
      </c>
      <c r="H56" s="1" t="s">
        <v>233</v>
      </c>
      <c r="I56" s="1" t="s">
        <v>234</v>
      </c>
      <c r="J56" s="1" t="s">
        <v>235</v>
      </c>
      <c r="K56" s="2">
        <v>39356</v>
      </c>
      <c r="L56" s="14" t="str">
        <f>_xlfn.XLOOKUP(A:A,Gemini建議!A:A,Gemini建議!B:B,"")</f>
        <v>高海拔測站 (全)</v>
      </c>
      <c r="M56" s="1" t="s">
        <v>2526</v>
      </c>
      <c r="N56" s="1"/>
    </row>
    <row r="57" spans="1:14" ht="30" hidden="1" customHeight="1">
      <c r="A57" s="2" t="str">
        <f>表格2[[#This Row],[站名]]&amp;表格2[[#This Row],[城市]]</f>
        <v>桃園桃園市</v>
      </c>
      <c r="B57" s="1" t="s">
        <v>236</v>
      </c>
      <c r="C57" s="1" t="s">
        <v>237</v>
      </c>
      <c r="D57" s="1">
        <v>24.9924</v>
      </c>
      <c r="E57" s="1">
        <v>121.3232</v>
      </c>
      <c r="F57" s="1" t="s">
        <v>238</v>
      </c>
      <c r="G57" s="1" t="s">
        <v>2538</v>
      </c>
      <c r="H57" s="1" t="s">
        <v>233</v>
      </c>
      <c r="I57" s="1" t="s">
        <v>239</v>
      </c>
      <c r="J57" s="1" t="s">
        <v>240</v>
      </c>
      <c r="K57" s="2">
        <v>39448</v>
      </c>
      <c r="L57" s="3" t="str">
        <f>_xlfn.XLOOKUP(A:A,Gemini建議!A:A,Gemini建議!B:B,"")</f>
        <v/>
      </c>
      <c r="M57" s="1"/>
      <c r="N57" s="1"/>
    </row>
    <row r="58" spans="1:14" ht="30" hidden="1" customHeight="1">
      <c r="A58" s="2" t="str">
        <f>表格2[[#This Row],[站名]]&amp;表格2[[#This Row],[城市]]</f>
        <v>八德桃園市</v>
      </c>
      <c r="B58" s="1" t="s">
        <v>241</v>
      </c>
      <c r="C58" s="1" t="s">
        <v>242</v>
      </c>
      <c r="D58" s="1">
        <v>24.928699999999999</v>
      </c>
      <c r="E58" s="1">
        <v>121.2833</v>
      </c>
      <c r="F58" s="1" t="s">
        <v>243</v>
      </c>
      <c r="G58" s="1" t="s">
        <v>2538</v>
      </c>
      <c r="H58" s="1" t="s">
        <v>233</v>
      </c>
      <c r="I58" s="1" t="s">
        <v>244</v>
      </c>
      <c r="J58" s="1" t="s">
        <v>245</v>
      </c>
      <c r="K58" s="2">
        <v>40878</v>
      </c>
      <c r="L58" s="3" t="str">
        <f>_xlfn.XLOOKUP(A:A,Gemini建議!A:A,Gemini建議!B:B,"")</f>
        <v/>
      </c>
      <c r="M58" s="1"/>
      <c r="N58" s="1"/>
    </row>
    <row r="59" spans="1:14" ht="30" hidden="1" customHeight="1">
      <c r="A59" s="2" t="str">
        <f>表格2[[#This Row],[站名]]&amp;表格2[[#This Row],[城市]]</f>
        <v>觀音桃園市</v>
      </c>
      <c r="B59" s="1" t="s">
        <v>246</v>
      </c>
      <c r="C59" s="1" t="s">
        <v>247</v>
      </c>
      <c r="D59" s="1">
        <v>25.027100000000001</v>
      </c>
      <c r="E59" s="1">
        <v>121.1533</v>
      </c>
      <c r="F59" s="1" t="s">
        <v>248</v>
      </c>
      <c r="G59" s="1" t="s">
        <v>2538</v>
      </c>
      <c r="H59" s="1" t="s">
        <v>233</v>
      </c>
      <c r="I59" s="1" t="s">
        <v>249</v>
      </c>
      <c r="J59" s="1"/>
      <c r="K59" s="2">
        <v>39254</v>
      </c>
      <c r="L59" s="3" t="str">
        <f>_xlfn.XLOOKUP(A:A,Gemini建議!A:A,Gemini建議!B:B,"")</f>
        <v/>
      </c>
      <c r="M59" s="1"/>
      <c r="N59" s="1"/>
    </row>
    <row r="60" spans="1:14" ht="30" hidden="1" customHeight="1">
      <c r="A60" s="2" t="str">
        <f>表格2[[#This Row],[站名]]&amp;表格2[[#This Row],[城市]]</f>
        <v>蘆竹桃園市</v>
      </c>
      <c r="B60" s="1" t="s">
        <v>250</v>
      </c>
      <c r="C60" s="1" t="s">
        <v>251</v>
      </c>
      <c r="D60" s="1">
        <v>25.084299999999999</v>
      </c>
      <c r="E60" s="1">
        <v>121.2658</v>
      </c>
      <c r="F60" s="1" t="s">
        <v>252</v>
      </c>
      <c r="G60" s="1" t="s">
        <v>2538</v>
      </c>
      <c r="H60" s="1" t="s">
        <v>233</v>
      </c>
      <c r="I60" s="1" t="s">
        <v>253</v>
      </c>
      <c r="J60" s="1" t="s">
        <v>254</v>
      </c>
      <c r="K60" s="2">
        <v>40878</v>
      </c>
      <c r="L60" s="3" t="str">
        <f>_xlfn.XLOOKUP(A:A,Gemini建議!A:A,Gemini建議!B:B,"")</f>
        <v/>
      </c>
      <c r="M60" s="1"/>
      <c r="N60" s="1"/>
    </row>
    <row r="61" spans="1:14" ht="30" customHeight="1">
      <c r="A61" s="2" t="str">
        <f>表格2[[#This Row],[站名]]&amp;表格2[[#This Row],[城市]]</f>
        <v>大溪桃園市</v>
      </c>
      <c r="B61" s="1" t="s">
        <v>255</v>
      </c>
      <c r="C61" s="1" t="s">
        <v>256</v>
      </c>
      <c r="D61" s="1">
        <v>24.882899999999999</v>
      </c>
      <c r="E61" s="1">
        <v>121.2655</v>
      </c>
      <c r="F61" s="1" t="s">
        <v>257</v>
      </c>
      <c r="G61" s="1" t="s">
        <v>2538</v>
      </c>
      <c r="H61" s="1" t="s">
        <v>233</v>
      </c>
      <c r="I61" s="1" t="s">
        <v>258</v>
      </c>
      <c r="J61" s="1"/>
      <c r="K61" s="2">
        <v>39366</v>
      </c>
      <c r="L61" s="3" t="str">
        <f>_xlfn.XLOOKUP(A:A,Gemini建議!A:A,Gemini建議!B:B,"")</f>
        <v>低海拔代表站</v>
      </c>
      <c r="M61" s="1"/>
      <c r="N61" s="1"/>
    </row>
    <row r="62" spans="1:14" ht="30" hidden="1" customHeight="1">
      <c r="A62" s="2" t="str">
        <f>表格2[[#This Row],[站名]]&amp;表格2[[#This Row],[城市]]</f>
        <v>平鎮桃園市</v>
      </c>
      <c r="B62" s="1" t="s">
        <v>259</v>
      </c>
      <c r="C62" s="1" t="s">
        <v>260</v>
      </c>
      <c r="D62" s="1">
        <v>24.897500000000001</v>
      </c>
      <c r="E62" s="1">
        <v>121.2146</v>
      </c>
      <c r="F62" s="1" t="s">
        <v>261</v>
      </c>
      <c r="G62" s="1" t="s">
        <v>2538</v>
      </c>
      <c r="H62" s="1" t="s">
        <v>233</v>
      </c>
      <c r="I62" s="1" t="s">
        <v>262</v>
      </c>
      <c r="J62" s="1"/>
      <c r="K62" s="2">
        <v>39366</v>
      </c>
      <c r="L62" s="3" t="str">
        <f>_xlfn.XLOOKUP(A:A,Gemini建議!A:A,Gemini建議!B:B,"")</f>
        <v/>
      </c>
      <c r="M62" s="1"/>
      <c r="N62" s="1"/>
    </row>
    <row r="63" spans="1:14" ht="30" hidden="1" customHeight="1">
      <c r="A63" s="2" t="str">
        <f>表格2[[#This Row],[站名]]&amp;表格2[[#This Row],[城市]]</f>
        <v>楊梅桃園市</v>
      </c>
      <c r="B63" s="1" t="s">
        <v>263</v>
      </c>
      <c r="C63" s="1" t="s">
        <v>264</v>
      </c>
      <c r="D63" s="1">
        <v>24.912400000000002</v>
      </c>
      <c r="E63" s="1">
        <v>121.143</v>
      </c>
      <c r="F63" s="1" t="s">
        <v>265</v>
      </c>
      <c r="G63" s="1" t="s">
        <v>2538</v>
      </c>
      <c r="H63" s="1" t="s">
        <v>233</v>
      </c>
      <c r="I63" s="1" t="s">
        <v>266</v>
      </c>
      <c r="J63" s="1"/>
      <c r="K63" s="2">
        <v>41455</v>
      </c>
      <c r="L63" s="3" t="str">
        <f>_xlfn.XLOOKUP(A:A,Gemini建議!A:A,Gemini建議!B:B,"")</f>
        <v/>
      </c>
      <c r="M63" s="1"/>
      <c r="N63" s="1"/>
    </row>
    <row r="64" spans="1:14" ht="30" hidden="1" customHeight="1">
      <c r="A64" s="2" t="str">
        <f>表格2[[#This Row],[站名]]&amp;表格2[[#This Row],[城市]]</f>
        <v>龍潭桃園市</v>
      </c>
      <c r="B64" s="1" t="s">
        <v>267</v>
      </c>
      <c r="C64" s="1" t="s">
        <v>268</v>
      </c>
      <c r="D64" s="1">
        <v>24.870100000000001</v>
      </c>
      <c r="E64" s="1">
        <v>121.2214</v>
      </c>
      <c r="F64" s="1" t="s">
        <v>269</v>
      </c>
      <c r="G64" s="1" t="s">
        <v>2538</v>
      </c>
      <c r="H64" s="1" t="s">
        <v>233</v>
      </c>
      <c r="I64" s="1" t="s">
        <v>270</v>
      </c>
      <c r="J64" s="1"/>
      <c r="K64" s="2">
        <v>41715</v>
      </c>
      <c r="L64" s="3" t="str">
        <f>_xlfn.XLOOKUP(A:A,Gemini建議!A:A,Gemini建議!B:B,"")</f>
        <v/>
      </c>
      <c r="M64" s="1"/>
      <c r="N64" s="1"/>
    </row>
    <row r="65" spans="1:14" ht="30" hidden="1" customHeight="1">
      <c r="A65" s="2" t="str">
        <f>表格2[[#This Row],[站名]]&amp;表格2[[#This Row],[城市]]</f>
        <v>龜山桃園市</v>
      </c>
      <c r="B65" s="1" t="s">
        <v>271</v>
      </c>
      <c r="C65" s="1" t="s">
        <v>272</v>
      </c>
      <c r="D65" s="1">
        <v>25.028500000000001</v>
      </c>
      <c r="E65" s="1">
        <v>121.3866</v>
      </c>
      <c r="F65" s="1" t="s">
        <v>273</v>
      </c>
      <c r="G65" s="1" t="s">
        <v>2538</v>
      </c>
      <c r="H65" s="1" t="s">
        <v>233</v>
      </c>
      <c r="I65" s="1" t="s">
        <v>274</v>
      </c>
      <c r="J65" s="1"/>
      <c r="K65" s="2">
        <v>42822</v>
      </c>
      <c r="L65" s="3" t="str">
        <f>_xlfn.XLOOKUP(A:A,Gemini建議!A:A,Gemini建議!B:B,"")</f>
        <v/>
      </c>
      <c r="M65" s="1"/>
      <c r="N65" s="1"/>
    </row>
    <row r="66" spans="1:14" ht="30" hidden="1" customHeight="1">
      <c r="A66" s="2" t="str">
        <f>表格2[[#This Row],[站名]]&amp;表格2[[#This Row],[城市]]</f>
        <v>中壢桃園市</v>
      </c>
      <c r="B66" s="1" t="s">
        <v>275</v>
      </c>
      <c r="C66" s="1" t="s">
        <v>276</v>
      </c>
      <c r="D66" s="1">
        <v>24.977699999999999</v>
      </c>
      <c r="E66" s="1">
        <v>121.2564</v>
      </c>
      <c r="F66" s="1" t="s">
        <v>277</v>
      </c>
      <c r="G66" s="1" t="s">
        <v>2538</v>
      </c>
      <c r="H66" s="1" t="s">
        <v>233</v>
      </c>
      <c r="I66" s="1" t="s">
        <v>278</v>
      </c>
      <c r="J66" s="1"/>
      <c r="K66" s="2">
        <v>43096</v>
      </c>
      <c r="L66" s="3" t="str">
        <f>_xlfn.XLOOKUP(A:A,Gemini建議!A:A,Gemini建議!B:B,"")</f>
        <v/>
      </c>
      <c r="M66" s="1"/>
      <c r="N66" s="1"/>
    </row>
    <row r="67" spans="1:14" ht="30" hidden="1" customHeight="1">
      <c r="A67" s="2" t="str">
        <f>表格2[[#This Row],[站名]]&amp;表格2[[#This Row],[城市]]</f>
        <v>大溪永福桃園市</v>
      </c>
      <c r="B67" s="1" t="s">
        <v>279</v>
      </c>
      <c r="C67" s="1" t="s">
        <v>280</v>
      </c>
      <c r="D67" s="1">
        <v>24.892900000000001</v>
      </c>
      <c r="E67" s="1">
        <v>121.325</v>
      </c>
      <c r="F67" s="1" t="s">
        <v>281</v>
      </c>
      <c r="G67" s="1" t="s">
        <v>2538</v>
      </c>
      <c r="H67" s="1" t="s">
        <v>233</v>
      </c>
      <c r="I67" s="1" t="s">
        <v>282</v>
      </c>
      <c r="J67" s="1"/>
      <c r="K67" s="2">
        <v>43460</v>
      </c>
      <c r="L67" s="3" t="str">
        <f>_xlfn.XLOOKUP(A:A,Gemini建議!A:A,Gemini建議!B:B,"")</f>
        <v/>
      </c>
      <c r="M67" s="1"/>
      <c r="N67" s="1"/>
    </row>
    <row r="68" spans="1:14" ht="30" hidden="1" customHeight="1">
      <c r="A68" s="2" t="str">
        <f>表格2[[#This Row],[站名]]&amp;表格2[[#This Row],[城市]]</f>
        <v>竹圍桃園市</v>
      </c>
      <c r="B68" s="1" t="s">
        <v>283</v>
      </c>
      <c r="C68" s="1" t="s">
        <v>284</v>
      </c>
      <c r="D68" s="1">
        <v>25.1127</v>
      </c>
      <c r="E68" s="1">
        <v>121.2398</v>
      </c>
      <c r="F68" s="1" t="s">
        <v>190</v>
      </c>
      <c r="G68" s="1" t="s">
        <v>2538</v>
      </c>
      <c r="H68" s="1" t="s">
        <v>233</v>
      </c>
      <c r="I68" s="1" t="s">
        <v>285</v>
      </c>
      <c r="J68" s="1"/>
      <c r="K68" s="2">
        <v>44629</v>
      </c>
      <c r="L68" s="3" t="str">
        <f>_xlfn.XLOOKUP(A:A,Gemini建議!A:A,Gemini建議!B:B,"")</f>
        <v/>
      </c>
      <c r="M68" s="1"/>
      <c r="N68" s="1"/>
    </row>
    <row r="69" spans="1:14" ht="30" hidden="1" customHeight="1">
      <c r="A69" s="2" t="str">
        <f>表格2[[#This Row],[站名]]&amp;表格2[[#This Row],[城市]]</f>
        <v>中大臨海站桃園市</v>
      </c>
      <c r="B69" s="1" t="s">
        <v>286</v>
      </c>
      <c r="C69" s="1" t="s">
        <v>287</v>
      </c>
      <c r="D69" s="1">
        <v>24.966100000000001</v>
      </c>
      <c r="E69" s="1">
        <v>121.0086</v>
      </c>
      <c r="F69" s="1" t="s">
        <v>224</v>
      </c>
      <c r="G69" s="1" t="s">
        <v>2538</v>
      </c>
      <c r="H69" s="1" t="s">
        <v>233</v>
      </c>
      <c r="I69" s="1" t="s">
        <v>288</v>
      </c>
      <c r="J69" s="1"/>
      <c r="K69" s="2">
        <v>44629</v>
      </c>
      <c r="L69" s="3" t="str">
        <f>_xlfn.XLOOKUP(A:A,Gemini建議!A:A,Gemini建議!B:B,"")</f>
        <v/>
      </c>
      <c r="M69" s="1"/>
      <c r="N69" s="1"/>
    </row>
    <row r="70" spans="1:14" ht="30" hidden="1" customHeight="1">
      <c r="A70" s="2" t="str">
        <f>表格2[[#This Row],[站名]]&amp;表格2[[#This Row],[城市]]</f>
        <v>觀音工業區桃園市</v>
      </c>
      <c r="B70" s="1" t="s">
        <v>289</v>
      </c>
      <c r="C70" s="1" t="s">
        <v>290</v>
      </c>
      <c r="D70" s="1">
        <v>25.064800000000002</v>
      </c>
      <c r="E70" s="1">
        <v>121.11490000000001</v>
      </c>
      <c r="F70" s="1" t="s">
        <v>291</v>
      </c>
      <c r="G70" s="1" t="s">
        <v>2538</v>
      </c>
      <c r="H70" s="1" t="s">
        <v>233</v>
      </c>
      <c r="I70" s="1" t="s">
        <v>292</v>
      </c>
      <c r="J70" s="1"/>
      <c r="K70" s="2">
        <v>44629</v>
      </c>
      <c r="L70" s="3" t="str">
        <f>_xlfn.XLOOKUP(A:A,Gemini建議!A:A,Gemini建議!B:B,"")</f>
        <v/>
      </c>
      <c r="M70" s="1"/>
      <c r="N70" s="1"/>
    </row>
    <row r="71" spans="1:14" ht="30" hidden="1" customHeight="1">
      <c r="A71" s="2" t="str">
        <f>表格2[[#This Row],[站名]]&amp;表格2[[#This Row],[城市]]</f>
        <v>新興坑尾桃園市</v>
      </c>
      <c r="B71" s="1" t="s">
        <v>293</v>
      </c>
      <c r="C71" s="1" t="s">
        <v>294</v>
      </c>
      <c r="D71" s="1">
        <v>25.0061</v>
      </c>
      <c r="E71" s="1">
        <v>121.0971</v>
      </c>
      <c r="F71" s="1" t="s">
        <v>248</v>
      </c>
      <c r="G71" s="1" t="s">
        <v>2538</v>
      </c>
      <c r="H71" s="1" t="s">
        <v>233</v>
      </c>
      <c r="I71" s="1" t="s">
        <v>295</v>
      </c>
      <c r="J71" s="1"/>
      <c r="K71" s="2">
        <v>44921</v>
      </c>
      <c r="L71" s="3" t="str">
        <f>_xlfn.XLOOKUP(A:A,Gemini建議!A:A,Gemini建議!B:B,"")</f>
        <v/>
      </c>
      <c r="M71" s="1"/>
      <c r="N71" s="1"/>
    </row>
    <row r="72" spans="1:14" ht="30" customHeight="1">
      <c r="A72" s="2" t="str">
        <f>表格2[[#This Row],[站名]]&amp;表格2[[#This Row],[城市]]</f>
        <v>東眼山桃園市</v>
      </c>
      <c r="B72" s="1" t="s">
        <v>296</v>
      </c>
      <c r="C72" s="1" t="s">
        <v>297</v>
      </c>
      <c r="D72" s="1">
        <v>24.828399999999998</v>
      </c>
      <c r="E72" s="1">
        <v>121.4089</v>
      </c>
      <c r="F72" s="1" t="s">
        <v>298</v>
      </c>
      <c r="G72" s="1" t="s">
        <v>2538</v>
      </c>
      <c r="H72" s="1" t="s">
        <v>233</v>
      </c>
      <c r="I72" s="1" t="s">
        <v>299</v>
      </c>
      <c r="J72" s="1"/>
      <c r="K72" s="2">
        <v>45743</v>
      </c>
      <c r="L72" s="3" t="str">
        <f>_xlfn.XLOOKUP(A:A,Gemini建議!A:A,Gemini建議!B:B,"")</f>
        <v>高海拔測站 (全)</v>
      </c>
      <c r="M72" s="1"/>
      <c r="N72" s="1"/>
    </row>
    <row r="73" spans="1:14" ht="30" customHeight="1">
      <c r="A73" s="2" t="str">
        <f>表格2[[#This Row],[站名]]&amp;表格2[[#This Row],[城市]]</f>
        <v>四稜桃園市</v>
      </c>
      <c r="B73" s="1" t="s">
        <v>300</v>
      </c>
      <c r="C73" s="1" t="s">
        <v>301</v>
      </c>
      <c r="D73" s="1">
        <v>24.647300000000001</v>
      </c>
      <c r="E73" s="1">
        <v>121.4293</v>
      </c>
      <c r="F73" s="1" t="s">
        <v>302</v>
      </c>
      <c r="G73" s="1" t="s">
        <v>2538</v>
      </c>
      <c r="H73" s="1" t="s">
        <v>233</v>
      </c>
      <c r="I73" s="1" t="s">
        <v>303</v>
      </c>
      <c r="J73" s="1"/>
      <c r="K73" s="2">
        <v>45743</v>
      </c>
      <c r="L73" s="3" t="str">
        <f>_xlfn.XLOOKUP(A:A,Gemini建議!A:A,Gemini建議!B:B,"")</f>
        <v>高海拔測站 (全)</v>
      </c>
      <c r="M73" s="1"/>
      <c r="N73" s="1"/>
    </row>
    <row r="74" spans="1:14" ht="30" customHeight="1">
      <c r="A74" s="2" t="str">
        <f>表格2[[#This Row],[站名]]&amp;表格2[[#This Row],[城市]]</f>
        <v>梅花新竹縣</v>
      </c>
      <c r="B74" s="1" t="s">
        <v>304</v>
      </c>
      <c r="C74" s="1" t="s">
        <v>305</v>
      </c>
      <c r="D74" s="1">
        <v>24.6783</v>
      </c>
      <c r="E74" s="1">
        <v>121.2086</v>
      </c>
      <c r="F74" s="1" t="s">
        <v>306</v>
      </c>
      <c r="G74" s="1" t="s">
        <v>2540</v>
      </c>
      <c r="H74" s="1" t="s">
        <v>307</v>
      </c>
      <c r="I74" s="1" t="s">
        <v>308</v>
      </c>
      <c r="J74" s="1"/>
      <c r="K74" s="2">
        <v>31929</v>
      </c>
      <c r="L74" s="3" t="str">
        <f>_xlfn.XLOOKUP(A:A,Gemini建議!A:A,Gemini建議!B:B,"")</f>
        <v>高海拔測站 (全)</v>
      </c>
      <c r="M74" s="1"/>
      <c r="N74" s="1"/>
    </row>
    <row r="75" spans="1:14" ht="30" hidden="1" customHeight="1">
      <c r="A75" s="2" t="str">
        <f>表格2[[#This Row],[站名]]&amp;表格2[[#This Row],[城市]]</f>
        <v>峨眉新竹縣</v>
      </c>
      <c r="B75" s="1" t="s">
        <v>309</v>
      </c>
      <c r="C75" s="1" t="s">
        <v>310</v>
      </c>
      <c r="D75" s="1">
        <v>24.6905</v>
      </c>
      <c r="E75" s="1">
        <v>121.0172</v>
      </c>
      <c r="F75" s="1" t="s">
        <v>311</v>
      </c>
      <c r="G75" s="1" t="s">
        <v>2540</v>
      </c>
      <c r="H75" s="1" t="s">
        <v>307</v>
      </c>
      <c r="I75" s="1" t="s">
        <v>312</v>
      </c>
      <c r="J75" s="1" t="s">
        <v>313</v>
      </c>
      <c r="K75" s="2">
        <v>40878</v>
      </c>
      <c r="L75" s="3" t="str">
        <f>_xlfn.XLOOKUP(A:A,Gemini建議!A:A,Gemini建議!B:B,"")</f>
        <v/>
      </c>
      <c r="M75" s="1"/>
      <c r="N75" s="1"/>
    </row>
    <row r="76" spans="1:14" ht="30" hidden="1" customHeight="1">
      <c r="A76" s="2" t="str">
        <f>表格2[[#This Row],[站名]]&amp;表格2[[#This Row],[城市]]</f>
        <v>打鐵坑新竹縣</v>
      </c>
      <c r="B76" s="1" t="s">
        <v>314</v>
      </c>
      <c r="C76" s="1" t="s">
        <v>315</v>
      </c>
      <c r="D76" s="1">
        <v>24.849699999999999</v>
      </c>
      <c r="E76" s="1">
        <v>121.1508</v>
      </c>
      <c r="F76" s="1" t="s">
        <v>316</v>
      </c>
      <c r="G76" s="1" t="s">
        <v>2540</v>
      </c>
      <c r="H76" s="1" t="s">
        <v>307</v>
      </c>
      <c r="I76" s="1" t="s">
        <v>317</v>
      </c>
      <c r="J76" s="1" t="s">
        <v>318</v>
      </c>
      <c r="K76" s="2">
        <v>39448</v>
      </c>
      <c r="L76" s="3" t="str">
        <f>_xlfn.XLOOKUP(A:A,Gemini建議!A:A,Gemini建議!B:B,"")</f>
        <v/>
      </c>
      <c r="M76" s="1"/>
      <c r="N76" s="1"/>
    </row>
    <row r="77" spans="1:14" ht="30" hidden="1" customHeight="1">
      <c r="A77" s="2" t="str">
        <f>表格2[[#This Row],[站名]]&amp;表格2[[#This Row],[城市]]</f>
        <v>橫山新竹縣</v>
      </c>
      <c r="B77" s="1" t="s">
        <v>319</v>
      </c>
      <c r="C77" s="1" t="s">
        <v>320</v>
      </c>
      <c r="D77" s="1">
        <v>24.711200000000002</v>
      </c>
      <c r="E77" s="1">
        <v>121.1169</v>
      </c>
      <c r="F77" s="1" t="s">
        <v>321</v>
      </c>
      <c r="G77" s="1" t="s">
        <v>2540</v>
      </c>
      <c r="H77" s="1" t="s">
        <v>307</v>
      </c>
      <c r="I77" s="1" t="s">
        <v>322</v>
      </c>
      <c r="J77" s="1"/>
      <c r="K77" s="2">
        <v>39149</v>
      </c>
      <c r="L77" s="3" t="str">
        <f>_xlfn.XLOOKUP(A:A,Gemini建議!A:A,Gemini建議!B:B,"")</f>
        <v/>
      </c>
      <c r="M77" s="1"/>
      <c r="N77" s="1"/>
    </row>
    <row r="78" spans="1:14" ht="30" customHeight="1">
      <c r="A78" s="2" t="str">
        <f>表格2[[#This Row],[站名]]&amp;表格2[[#This Row],[城市]]</f>
        <v>雪霸新竹縣</v>
      </c>
      <c r="B78" s="1" t="s">
        <v>323</v>
      </c>
      <c r="C78" s="1" t="s">
        <v>324</v>
      </c>
      <c r="D78" s="1">
        <v>24.527000000000001</v>
      </c>
      <c r="E78" s="1">
        <v>121.1161</v>
      </c>
      <c r="F78" s="1" t="s">
        <v>325</v>
      </c>
      <c r="G78" s="1" t="s">
        <v>2540</v>
      </c>
      <c r="H78" s="1" t="s">
        <v>307</v>
      </c>
      <c r="I78" s="1" t="s">
        <v>326</v>
      </c>
      <c r="J78" s="1"/>
      <c r="K78" s="2">
        <v>39256</v>
      </c>
      <c r="L78" s="3" t="str">
        <f>_xlfn.XLOOKUP(A:A,Gemini建議!A:A,Gemini建議!B:B,"")</f>
        <v>高海拔測站 (全)</v>
      </c>
      <c r="M78" s="1"/>
      <c r="N78" s="1"/>
    </row>
    <row r="79" spans="1:14" ht="30" hidden="1" customHeight="1">
      <c r="A79" s="2" t="str">
        <f>表格2[[#This Row],[站名]]&amp;表格2[[#This Row],[城市]]</f>
        <v>竹東新竹縣</v>
      </c>
      <c r="B79" s="1" t="s">
        <v>327</v>
      </c>
      <c r="C79" s="1" t="s">
        <v>328</v>
      </c>
      <c r="D79" s="1">
        <v>24.767099999999999</v>
      </c>
      <c r="E79" s="1">
        <v>121.0579</v>
      </c>
      <c r="F79" s="1" t="s">
        <v>329</v>
      </c>
      <c r="G79" s="1" t="s">
        <v>2540</v>
      </c>
      <c r="H79" s="1" t="s">
        <v>307</v>
      </c>
      <c r="I79" s="1" t="s">
        <v>330</v>
      </c>
      <c r="J79" s="1" t="s">
        <v>331</v>
      </c>
      <c r="K79" s="2">
        <v>39448</v>
      </c>
      <c r="L79" s="3" t="str">
        <f>_xlfn.XLOOKUP(A:A,Gemini建議!A:A,Gemini建議!B:B,"")</f>
        <v/>
      </c>
      <c r="M79" s="1"/>
      <c r="N79" s="1"/>
    </row>
    <row r="80" spans="1:14" ht="30" hidden="1" customHeight="1">
      <c r="A80" s="2" t="str">
        <f>表格2[[#This Row],[站名]]&amp;表格2[[#This Row],[城市]]</f>
        <v>寶山新竹縣</v>
      </c>
      <c r="B80" s="1" t="s">
        <v>332</v>
      </c>
      <c r="C80" s="1" t="s">
        <v>333</v>
      </c>
      <c r="D80" s="1">
        <v>24.734999999999999</v>
      </c>
      <c r="E80" s="1">
        <v>121.0252</v>
      </c>
      <c r="F80" s="1" t="s">
        <v>334</v>
      </c>
      <c r="G80" s="1" t="s">
        <v>2540</v>
      </c>
      <c r="H80" s="1" t="s">
        <v>307</v>
      </c>
      <c r="I80" s="1" t="s">
        <v>335</v>
      </c>
      <c r="J80" s="1"/>
      <c r="K80" s="2">
        <v>39369</v>
      </c>
      <c r="L80" s="3" t="str">
        <f>_xlfn.XLOOKUP(A:A,Gemini建議!A:A,Gemini建議!B:B,"")</f>
        <v/>
      </c>
      <c r="M80" s="1"/>
      <c r="N80" s="1"/>
    </row>
    <row r="81" spans="1:14" ht="30" hidden="1" customHeight="1">
      <c r="A81" s="2" t="str">
        <f>表格2[[#This Row],[站名]]&amp;表格2[[#This Row],[城市]]</f>
        <v>新豐新竹縣</v>
      </c>
      <c r="B81" s="1" t="s">
        <v>336</v>
      </c>
      <c r="C81" s="1" t="s">
        <v>337</v>
      </c>
      <c r="D81" s="1">
        <v>24.870699999999999</v>
      </c>
      <c r="E81" s="1">
        <v>120.9772</v>
      </c>
      <c r="F81" s="1" t="s">
        <v>281</v>
      </c>
      <c r="G81" s="1" t="s">
        <v>2540</v>
      </c>
      <c r="H81" s="1" t="s">
        <v>307</v>
      </c>
      <c r="I81" s="1" t="s">
        <v>338</v>
      </c>
      <c r="J81" s="1" t="s">
        <v>339</v>
      </c>
      <c r="K81" s="2">
        <v>39356</v>
      </c>
      <c r="L81" s="3" t="str">
        <f>_xlfn.XLOOKUP(A:A,Gemini建議!A:A,Gemini建議!B:B,"")</f>
        <v/>
      </c>
      <c r="M81" s="1"/>
      <c r="N81" s="1"/>
    </row>
    <row r="82" spans="1:14" ht="30" customHeight="1">
      <c r="A82" s="2" t="str">
        <f>表格2[[#This Row],[站名]]&amp;表格2[[#This Row],[城市]]</f>
        <v>湖口新竹縣</v>
      </c>
      <c r="B82" s="1" t="s">
        <v>340</v>
      </c>
      <c r="C82" s="1" t="s">
        <v>341</v>
      </c>
      <c r="D82" s="1">
        <v>24.904800000000002</v>
      </c>
      <c r="E82" s="1">
        <v>121.0436</v>
      </c>
      <c r="F82" s="1" t="s">
        <v>342</v>
      </c>
      <c r="G82" s="1" t="s">
        <v>2540</v>
      </c>
      <c r="H82" s="1" t="s">
        <v>307</v>
      </c>
      <c r="I82" s="1" t="s">
        <v>343</v>
      </c>
      <c r="J82" s="1"/>
      <c r="K82" s="2">
        <v>41527</v>
      </c>
      <c r="L82" s="3" t="str">
        <f>_xlfn.XLOOKUP(A:A,Gemini建議!A:A,Gemini建議!B:B,"")</f>
        <v>低海拔代表站</v>
      </c>
      <c r="M82" s="1"/>
      <c r="N82" s="1"/>
    </row>
    <row r="83" spans="1:14" ht="30" customHeight="1">
      <c r="A83" s="2" t="str">
        <f>表格2[[#This Row],[站名]]&amp;表格2[[#This Row],[城市]]</f>
        <v>新竹市東區新竹市</v>
      </c>
      <c r="B83" s="1" t="s">
        <v>344</v>
      </c>
      <c r="C83" s="1" t="s">
        <v>345</v>
      </c>
      <c r="D83" s="1">
        <v>24.7987</v>
      </c>
      <c r="E83" s="1">
        <v>120.98690000000001</v>
      </c>
      <c r="F83" s="1" t="s">
        <v>346</v>
      </c>
      <c r="G83" s="1" t="s">
        <v>2539</v>
      </c>
      <c r="H83" s="1" t="s">
        <v>347</v>
      </c>
      <c r="I83" s="1" t="s">
        <v>348</v>
      </c>
      <c r="J83" s="1"/>
      <c r="K83" s="2">
        <v>41911</v>
      </c>
      <c r="L83" s="3" t="str">
        <f>_xlfn.XLOOKUP(A:A,Gemini建議!A:A,Gemini建議!B:B,"")</f>
        <v>低海拔代表站</v>
      </c>
      <c r="M83" s="1"/>
      <c r="N83" s="1"/>
    </row>
    <row r="84" spans="1:14" ht="30" hidden="1" customHeight="1">
      <c r="A84" s="2" t="str">
        <f>表格2[[#This Row],[站名]]&amp;表格2[[#This Row],[城市]]</f>
        <v>海天一線新竹市</v>
      </c>
      <c r="B84" s="1" t="s">
        <v>349</v>
      </c>
      <c r="C84" s="1" t="s">
        <v>350</v>
      </c>
      <c r="D84" s="1">
        <v>24.832000000000001</v>
      </c>
      <c r="E84" s="1">
        <v>120.9144</v>
      </c>
      <c r="F84" s="1" t="s">
        <v>198</v>
      </c>
      <c r="G84" s="1" t="s">
        <v>2539</v>
      </c>
      <c r="H84" s="1" t="s">
        <v>347</v>
      </c>
      <c r="I84" s="1" t="s">
        <v>351</v>
      </c>
      <c r="J84" s="1"/>
      <c r="K84" s="2">
        <v>44629</v>
      </c>
      <c r="L84" s="3" t="str">
        <f>_xlfn.XLOOKUP(A:A,Gemini建議!A:A,Gemini建議!B:B,"")</f>
        <v/>
      </c>
      <c r="M84" s="1"/>
      <c r="N84" s="1"/>
    </row>
    <row r="85" spans="1:14" ht="30" hidden="1" customHeight="1">
      <c r="A85" s="2" t="str">
        <f>表格2[[#This Row],[站名]]&amp;表格2[[#This Row],[城市]]</f>
        <v>香山濕地新竹市</v>
      </c>
      <c r="B85" s="1" t="s">
        <v>352</v>
      </c>
      <c r="C85" s="1" t="s">
        <v>353</v>
      </c>
      <c r="D85" s="1">
        <v>24.7836</v>
      </c>
      <c r="E85" s="1">
        <v>120.91500000000001</v>
      </c>
      <c r="F85" s="1" t="s">
        <v>354</v>
      </c>
      <c r="G85" s="1" t="s">
        <v>2539</v>
      </c>
      <c r="H85" s="1" t="s">
        <v>347</v>
      </c>
      <c r="I85" s="1" t="s">
        <v>355</v>
      </c>
      <c r="J85" s="1"/>
      <c r="K85" s="2">
        <v>44629</v>
      </c>
      <c r="L85" s="3" t="str">
        <f>_xlfn.XLOOKUP(A:A,Gemini建議!A:A,Gemini建議!B:B,"")</f>
        <v/>
      </c>
      <c r="M85" s="1"/>
      <c r="N85" s="1"/>
    </row>
    <row r="86" spans="1:14" ht="30" hidden="1" customHeight="1">
      <c r="A86" s="2" t="str">
        <f>表格2[[#This Row],[站名]]&amp;表格2[[#This Row],[城市]]</f>
        <v>外湖新竹縣</v>
      </c>
      <c r="B86" s="1" t="s">
        <v>356</v>
      </c>
      <c r="C86" s="1" t="s">
        <v>357</v>
      </c>
      <c r="D86" s="1">
        <v>24.9177</v>
      </c>
      <c r="E86" s="1">
        <v>120.9687</v>
      </c>
      <c r="F86" s="1" t="s">
        <v>103</v>
      </c>
      <c r="G86" s="1" t="s">
        <v>2540</v>
      </c>
      <c r="H86" s="1" t="s">
        <v>307</v>
      </c>
      <c r="I86" s="1" t="s">
        <v>358</v>
      </c>
      <c r="J86" s="1"/>
      <c r="K86" s="2">
        <v>44629</v>
      </c>
      <c r="L86" s="3" t="str">
        <f>_xlfn.XLOOKUP(A:A,Gemini建議!A:A,Gemini建議!B:B,"")</f>
        <v/>
      </c>
      <c r="M86" s="1"/>
      <c r="N86" s="1"/>
    </row>
    <row r="87" spans="1:14" ht="30" hidden="1" customHeight="1">
      <c r="A87" s="2" t="str">
        <f>表格2[[#This Row],[站名]]&amp;表格2[[#This Row],[城市]]</f>
        <v>關西新竹縣</v>
      </c>
      <c r="B87" s="1" t="s">
        <v>359</v>
      </c>
      <c r="C87" s="1" t="s">
        <v>360</v>
      </c>
      <c r="D87" s="1">
        <v>24.797699999999999</v>
      </c>
      <c r="E87" s="1">
        <v>121.17319999999999</v>
      </c>
      <c r="F87" s="1" t="s">
        <v>361</v>
      </c>
      <c r="G87" s="1" t="s">
        <v>2540</v>
      </c>
      <c r="H87" s="1" t="s">
        <v>307</v>
      </c>
      <c r="I87" s="1" t="s">
        <v>362</v>
      </c>
      <c r="J87" s="1" t="s">
        <v>363</v>
      </c>
      <c r="K87" s="2">
        <v>44976</v>
      </c>
      <c r="L87" s="3" t="str">
        <f>_xlfn.XLOOKUP(A:A,Gemini建議!A:A,Gemini建議!B:B,"")</f>
        <v/>
      </c>
      <c r="M87" s="1"/>
      <c r="N87" s="1"/>
    </row>
    <row r="88" spans="1:14" ht="30" customHeight="1">
      <c r="A88" s="2" t="str">
        <f>表格2[[#This Row],[站名]]&amp;表格2[[#This Row],[城市]]</f>
        <v>樂山林道6k新竹縣</v>
      </c>
      <c r="B88" s="1" t="s">
        <v>364</v>
      </c>
      <c r="C88" s="1" t="s">
        <v>365</v>
      </c>
      <c r="D88" s="1">
        <v>24.5</v>
      </c>
      <c r="E88" s="1">
        <v>121.0877</v>
      </c>
      <c r="F88" s="1" t="s">
        <v>366</v>
      </c>
      <c r="G88" s="1" t="s">
        <v>2540</v>
      </c>
      <c r="H88" s="1" t="s">
        <v>307</v>
      </c>
      <c r="I88" s="1" t="s">
        <v>367</v>
      </c>
      <c r="J88" s="1"/>
      <c r="K88" s="2">
        <v>45743</v>
      </c>
      <c r="L88" s="3" t="str">
        <f>_xlfn.XLOOKUP(A:A,Gemini建議!A:A,Gemini建議!B:B,"")</f>
        <v>高海拔測站 (全)</v>
      </c>
      <c r="M88" s="1"/>
      <c r="N88" s="1"/>
    </row>
    <row r="89" spans="1:14" ht="30" customHeight="1">
      <c r="A89" s="2" t="str">
        <f>表格2[[#This Row],[站名]]&amp;表格2[[#This Row],[城市]]</f>
        <v>大坪苗圃新竹縣</v>
      </c>
      <c r="B89" s="1" t="s">
        <v>368</v>
      </c>
      <c r="C89" s="1" t="s">
        <v>369</v>
      </c>
      <c r="D89" s="1">
        <v>24.536200000000001</v>
      </c>
      <c r="E89" s="1">
        <v>121.1108</v>
      </c>
      <c r="F89" s="1" t="s">
        <v>370</v>
      </c>
      <c r="G89" s="1" t="s">
        <v>2540</v>
      </c>
      <c r="H89" s="1" t="s">
        <v>307</v>
      </c>
      <c r="I89" s="1" t="s">
        <v>371</v>
      </c>
      <c r="J89" s="1"/>
      <c r="K89" s="2">
        <v>45743</v>
      </c>
      <c r="L89" s="3" t="str">
        <f>_xlfn.XLOOKUP(A:A,Gemini建議!A:A,Gemini建議!B:B,"")</f>
        <v>高海拔測站 (全)</v>
      </c>
      <c r="M89" s="1"/>
      <c r="N89" s="1"/>
    </row>
    <row r="90" spans="1:14" ht="30" hidden="1" customHeight="1">
      <c r="A90" s="2" t="str">
        <f>表格2[[#This Row],[站名]]&amp;表格2[[#This Row],[城市]]</f>
        <v>竹南苗栗縣</v>
      </c>
      <c r="B90" s="1" t="s">
        <v>372</v>
      </c>
      <c r="C90" s="1" t="s">
        <v>373</v>
      </c>
      <c r="D90" s="1">
        <v>24.709</v>
      </c>
      <c r="E90" s="1">
        <v>120.88890000000001</v>
      </c>
      <c r="F90" s="1" t="s">
        <v>252</v>
      </c>
      <c r="G90" s="1" t="s">
        <v>2541</v>
      </c>
      <c r="H90" s="1" t="s">
        <v>374</v>
      </c>
      <c r="I90" s="1" t="s">
        <v>375</v>
      </c>
      <c r="J90" s="1"/>
      <c r="K90" s="2">
        <v>31929</v>
      </c>
      <c r="L90" s="3" t="str">
        <f>_xlfn.XLOOKUP(A:A,Gemini建議!A:A,Gemini建議!B:B,"")</f>
        <v/>
      </c>
      <c r="M90" s="1"/>
      <c r="N90" s="1"/>
    </row>
    <row r="91" spans="1:14" ht="30" hidden="1" customHeight="1">
      <c r="A91" s="2" t="str">
        <f>表格2[[#This Row],[站名]]&amp;表格2[[#This Row],[城市]]</f>
        <v>南庄苗栗縣</v>
      </c>
      <c r="B91" s="1" t="s">
        <v>376</v>
      </c>
      <c r="C91" s="1" t="s">
        <v>377</v>
      </c>
      <c r="D91" s="1">
        <v>24.601800000000001</v>
      </c>
      <c r="E91" s="1">
        <v>121.00020000000001</v>
      </c>
      <c r="F91" s="1" t="s">
        <v>378</v>
      </c>
      <c r="G91" s="1" t="s">
        <v>2541</v>
      </c>
      <c r="H91" s="1" t="s">
        <v>374</v>
      </c>
      <c r="I91" s="1" t="s">
        <v>379</v>
      </c>
      <c r="J91" s="1"/>
      <c r="K91" s="2">
        <v>31929</v>
      </c>
      <c r="L91" s="3" t="str">
        <f>_xlfn.XLOOKUP(A:A,Gemini建議!A:A,Gemini建議!B:B,"")</f>
        <v/>
      </c>
      <c r="M91" s="1"/>
      <c r="N91" s="1"/>
    </row>
    <row r="92" spans="1:14" ht="30" hidden="1" customHeight="1">
      <c r="A92" s="2" t="str">
        <f>表格2[[#This Row],[站名]]&amp;表格2[[#This Row],[城市]]</f>
        <v>明德苗栗縣</v>
      </c>
      <c r="B92" s="1" t="s">
        <v>380</v>
      </c>
      <c r="C92" s="1" t="s">
        <v>381</v>
      </c>
      <c r="D92" s="1">
        <v>24.583500000000001</v>
      </c>
      <c r="E92" s="1">
        <v>120.8854</v>
      </c>
      <c r="F92" s="1" t="s">
        <v>111</v>
      </c>
      <c r="G92" s="1" t="s">
        <v>2541</v>
      </c>
      <c r="H92" s="1" t="s">
        <v>374</v>
      </c>
      <c r="I92" s="1" t="s">
        <v>382</v>
      </c>
      <c r="J92" s="1" t="s">
        <v>383</v>
      </c>
      <c r="K92" s="2">
        <v>40848</v>
      </c>
      <c r="L92" s="3" t="str">
        <f>_xlfn.XLOOKUP(A:A,Gemini建議!A:A,Gemini建議!B:B,"")</f>
        <v/>
      </c>
      <c r="M92" s="1"/>
      <c r="N92" s="1"/>
    </row>
    <row r="93" spans="1:14" ht="30" hidden="1" customHeight="1">
      <c r="A93" s="2" t="str">
        <f>表格2[[#This Row],[站名]]&amp;表格2[[#This Row],[城市]]</f>
        <v>白沙屯苗栗縣</v>
      </c>
      <c r="B93" s="1" t="s">
        <v>384</v>
      </c>
      <c r="C93" s="1" t="s">
        <v>385</v>
      </c>
      <c r="D93" s="1">
        <v>24.549399999999999</v>
      </c>
      <c r="E93" s="1">
        <v>120.6968</v>
      </c>
      <c r="F93" s="1" t="s">
        <v>386</v>
      </c>
      <c r="G93" s="1" t="s">
        <v>2541</v>
      </c>
      <c r="H93" s="1" t="s">
        <v>374</v>
      </c>
      <c r="I93" s="1" t="s">
        <v>387</v>
      </c>
      <c r="J93" s="1"/>
      <c r="K93" s="2">
        <v>45693</v>
      </c>
      <c r="L93" s="3" t="str">
        <f>_xlfn.XLOOKUP(A:A,Gemini建議!A:A,Gemini建議!B:B,"")</f>
        <v/>
      </c>
      <c r="M93" s="1"/>
      <c r="N93" s="1"/>
    </row>
    <row r="94" spans="1:14" ht="30" hidden="1" customHeight="1">
      <c r="A94" s="2" t="str">
        <f>表格2[[#This Row],[站名]]&amp;表格2[[#This Row],[城市]]</f>
        <v>通霄苗栗縣</v>
      </c>
      <c r="B94" s="1" t="s">
        <v>388</v>
      </c>
      <c r="C94" s="1" t="s">
        <v>389</v>
      </c>
      <c r="D94" s="1">
        <v>24.471900000000002</v>
      </c>
      <c r="E94" s="1">
        <v>120.7046</v>
      </c>
      <c r="F94" s="1" t="s">
        <v>46</v>
      </c>
      <c r="G94" s="1" t="s">
        <v>2541</v>
      </c>
      <c r="H94" s="1" t="s">
        <v>374</v>
      </c>
      <c r="I94" s="1" t="s">
        <v>390</v>
      </c>
      <c r="J94" s="1" t="s">
        <v>391</v>
      </c>
      <c r="K94" s="2">
        <v>40848</v>
      </c>
      <c r="L94" s="3" t="str">
        <f>_xlfn.XLOOKUP(A:A,Gemini建議!A:A,Gemini建議!B:B,"")</f>
        <v/>
      </c>
      <c r="M94" s="1"/>
      <c r="N94" s="1"/>
    </row>
    <row r="95" spans="1:14" ht="30" customHeight="1">
      <c r="A95" s="2" t="str">
        <f>表格2[[#This Row],[站名]]&amp;表格2[[#This Row],[城市]]</f>
        <v>馬都安苗栗縣</v>
      </c>
      <c r="B95" s="1" t="s">
        <v>392</v>
      </c>
      <c r="C95" s="1" t="s">
        <v>393</v>
      </c>
      <c r="D95" s="1">
        <v>24.4513</v>
      </c>
      <c r="E95" s="1">
        <v>120.9302</v>
      </c>
      <c r="F95" s="1" t="s">
        <v>394</v>
      </c>
      <c r="G95" s="1" t="s">
        <v>2541</v>
      </c>
      <c r="H95" s="1" t="s">
        <v>374</v>
      </c>
      <c r="I95" s="1" t="s">
        <v>395</v>
      </c>
      <c r="J95" s="1"/>
      <c r="K95" s="2">
        <v>33055</v>
      </c>
      <c r="L95" s="3" t="str">
        <f>_xlfn.XLOOKUP(A:A,Gemini建議!A:A,Gemini建議!B:B,"")</f>
        <v>高海拔測站 (全)</v>
      </c>
      <c r="M95" s="1"/>
      <c r="N95" s="1"/>
    </row>
    <row r="96" spans="1:14" ht="30" hidden="1" customHeight="1">
      <c r="A96" s="2" t="str">
        <f>表格2[[#This Row],[站名]]&amp;表格2[[#This Row],[城市]]</f>
        <v>頭份苗栗縣</v>
      </c>
      <c r="B96" s="1" t="s">
        <v>396</v>
      </c>
      <c r="C96" s="1" t="s">
        <v>397</v>
      </c>
      <c r="D96" s="1">
        <v>24.688199999999998</v>
      </c>
      <c r="E96" s="1">
        <v>120.9122</v>
      </c>
      <c r="F96" s="1" t="s">
        <v>162</v>
      </c>
      <c r="G96" s="1" t="s">
        <v>2541</v>
      </c>
      <c r="H96" s="1" t="s">
        <v>374</v>
      </c>
      <c r="I96" s="1" t="s">
        <v>398</v>
      </c>
      <c r="J96" s="1"/>
      <c r="K96" s="2">
        <v>39366</v>
      </c>
      <c r="L96" s="3" t="str">
        <f>_xlfn.XLOOKUP(A:A,Gemini建議!A:A,Gemini建議!B:B,"")</f>
        <v/>
      </c>
      <c r="M96" s="1"/>
      <c r="N96" s="1"/>
    </row>
    <row r="97" spans="1:14" ht="30" hidden="1" customHeight="1">
      <c r="A97" s="2" t="str">
        <f>表格2[[#This Row],[站名]]&amp;表格2[[#This Row],[城市]]</f>
        <v>造橋苗栗縣</v>
      </c>
      <c r="B97" s="1" t="s">
        <v>399</v>
      </c>
      <c r="C97" s="1" t="s">
        <v>400</v>
      </c>
      <c r="D97" s="1">
        <v>24.6371</v>
      </c>
      <c r="E97" s="1">
        <v>120.8648</v>
      </c>
      <c r="F97" s="1" t="s">
        <v>99</v>
      </c>
      <c r="G97" s="1" t="s">
        <v>2541</v>
      </c>
      <c r="H97" s="1" t="s">
        <v>374</v>
      </c>
      <c r="I97" s="1" t="s">
        <v>401</v>
      </c>
      <c r="J97" s="1" t="s">
        <v>402</v>
      </c>
      <c r="K97" s="2">
        <v>40574</v>
      </c>
      <c r="L97" s="3" t="str">
        <f>_xlfn.XLOOKUP(A:A,Gemini建議!A:A,Gemini建議!B:B,"")</f>
        <v/>
      </c>
      <c r="M97" s="1"/>
      <c r="N97" s="1"/>
    </row>
    <row r="98" spans="1:14" ht="30" customHeight="1">
      <c r="A98" s="2" t="str">
        <f>表格2[[#This Row],[站名]]&amp;表格2[[#This Row],[城市]]</f>
        <v>苗栗苗栗縣</v>
      </c>
      <c r="B98" s="1" t="s">
        <v>403</v>
      </c>
      <c r="C98" s="1" t="s">
        <v>404</v>
      </c>
      <c r="D98" s="1">
        <v>24.564599999999999</v>
      </c>
      <c r="E98" s="1">
        <v>120.8246</v>
      </c>
      <c r="F98" s="1" t="s">
        <v>405</v>
      </c>
      <c r="G98" s="1" t="s">
        <v>2541</v>
      </c>
      <c r="H98" s="1" t="s">
        <v>374</v>
      </c>
      <c r="I98" s="1" t="s">
        <v>406</v>
      </c>
      <c r="J98" s="1"/>
      <c r="K98" s="2">
        <v>40595</v>
      </c>
      <c r="L98" s="3" t="str">
        <f>_xlfn.XLOOKUP(A:A,Gemini建議!A:A,Gemini建議!B:B,"")</f>
        <v>低海拔代表站</v>
      </c>
      <c r="M98" s="1"/>
      <c r="N98" s="1"/>
    </row>
    <row r="99" spans="1:14" ht="30" hidden="1" customHeight="1">
      <c r="A99" s="2" t="str">
        <f>表格2[[#This Row],[站名]]&amp;表格2[[#This Row],[城市]]</f>
        <v>銅鑼苗栗縣</v>
      </c>
      <c r="B99" s="1" t="s">
        <v>407</v>
      </c>
      <c r="C99" s="1" t="s">
        <v>408</v>
      </c>
      <c r="D99" s="1">
        <v>24.489699999999999</v>
      </c>
      <c r="E99" s="1">
        <v>120.79089999999999</v>
      </c>
      <c r="F99" s="1" t="s">
        <v>409</v>
      </c>
      <c r="G99" s="1" t="s">
        <v>2541</v>
      </c>
      <c r="H99" s="1" t="s">
        <v>374</v>
      </c>
      <c r="I99" s="1" t="s">
        <v>410</v>
      </c>
      <c r="J99" s="1"/>
      <c r="K99" s="2">
        <v>40604</v>
      </c>
      <c r="L99" s="3" t="str">
        <f>_xlfn.XLOOKUP(A:A,Gemini建議!A:A,Gemini建議!B:B,"")</f>
        <v/>
      </c>
      <c r="M99" s="1"/>
      <c r="N99" s="1"/>
    </row>
    <row r="100" spans="1:14" ht="30" hidden="1" customHeight="1">
      <c r="A100" s="2" t="str">
        <f>表格2[[#This Row],[站名]]&amp;表格2[[#This Row],[城市]]</f>
        <v>卓蘭苗栗縣</v>
      </c>
      <c r="B100" s="1" t="s">
        <v>411</v>
      </c>
      <c r="C100" s="1" t="s">
        <v>412</v>
      </c>
      <c r="D100" s="1">
        <v>24.3126</v>
      </c>
      <c r="E100" s="1">
        <v>120.8244</v>
      </c>
      <c r="F100" s="1" t="s">
        <v>413</v>
      </c>
      <c r="G100" s="1" t="s">
        <v>2541</v>
      </c>
      <c r="H100" s="1" t="s">
        <v>374</v>
      </c>
      <c r="I100" s="1" t="s">
        <v>414</v>
      </c>
      <c r="J100" s="1" t="s">
        <v>415</v>
      </c>
      <c r="K100" s="2">
        <v>44825</v>
      </c>
      <c r="L100" s="3" t="str">
        <f>_xlfn.XLOOKUP(A:A,Gemini建議!A:A,Gemini建議!B:B,"")</f>
        <v/>
      </c>
      <c r="M100" s="1"/>
      <c r="N100" s="1"/>
    </row>
    <row r="101" spans="1:14" ht="30" hidden="1" customHeight="1">
      <c r="A101" s="2" t="str">
        <f>表格2[[#This Row],[站名]]&amp;表格2[[#This Row],[城市]]</f>
        <v>西湖苗栗縣</v>
      </c>
      <c r="B101" s="1" t="s">
        <v>416</v>
      </c>
      <c r="C101" s="1" t="s">
        <v>417</v>
      </c>
      <c r="D101" s="1">
        <v>24.562899999999999</v>
      </c>
      <c r="E101" s="1">
        <v>120.74850000000001</v>
      </c>
      <c r="F101" s="1" t="s">
        <v>418</v>
      </c>
      <c r="G101" s="1" t="s">
        <v>2541</v>
      </c>
      <c r="H101" s="1" t="s">
        <v>374</v>
      </c>
      <c r="I101" s="1" t="s">
        <v>419</v>
      </c>
      <c r="J101" s="1" t="s">
        <v>402</v>
      </c>
      <c r="K101" s="2">
        <v>40657</v>
      </c>
      <c r="L101" s="3" t="str">
        <f>_xlfn.XLOOKUP(A:A,Gemini建議!A:A,Gemini建議!B:B,"")</f>
        <v/>
      </c>
      <c r="M101" s="1"/>
      <c r="N101" s="1"/>
    </row>
    <row r="102" spans="1:14" ht="30" hidden="1" customHeight="1">
      <c r="A102" s="2" t="str">
        <f>表格2[[#This Row],[站名]]&amp;表格2[[#This Row],[城市]]</f>
        <v>獅潭苗栗縣</v>
      </c>
      <c r="B102" s="1" t="s">
        <v>420</v>
      </c>
      <c r="C102" s="1" t="s">
        <v>421</v>
      </c>
      <c r="D102" s="1">
        <v>24.539100000000001</v>
      </c>
      <c r="E102" s="1">
        <v>120.92</v>
      </c>
      <c r="F102" s="1" t="s">
        <v>422</v>
      </c>
      <c r="G102" s="1" t="s">
        <v>2541</v>
      </c>
      <c r="H102" s="1" t="s">
        <v>374</v>
      </c>
      <c r="I102" s="1" t="s">
        <v>423</v>
      </c>
      <c r="J102" s="1"/>
      <c r="K102" s="2">
        <v>40808</v>
      </c>
      <c r="L102" s="3" t="str">
        <f>_xlfn.XLOOKUP(A:A,Gemini建議!A:A,Gemini建議!B:B,"")</f>
        <v/>
      </c>
      <c r="M102" s="1"/>
      <c r="N102" s="1"/>
    </row>
    <row r="103" spans="1:14" ht="30" hidden="1" customHeight="1">
      <c r="A103" s="2" t="str">
        <f>表格2[[#This Row],[站名]]&amp;表格2[[#This Row],[城市]]</f>
        <v>苑裡苗栗縣</v>
      </c>
      <c r="B103" s="1" t="s">
        <v>424</v>
      </c>
      <c r="C103" s="1" t="s">
        <v>425</v>
      </c>
      <c r="D103" s="1">
        <v>24.439699999999998</v>
      </c>
      <c r="E103" s="1">
        <v>120.65309999999999</v>
      </c>
      <c r="F103" s="1" t="s">
        <v>426</v>
      </c>
      <c r="G103" s="1" t="s">
        <v>2541</v>
      </c>
      <c r="H103" s="1" t="s">
        <v>374</v>
      </c>
      <c r="I103" s="1" t="s">
        <v>427</v>
      </c>
      <c r="J103" s="1" t="s">
        <v>402</v>
      </c>
      <c r="K103" s="2">
        <v>41584</v>
      </c>
      <c r="L103" s="3" t="str">
        <f>_xlfn.XLOOKUP(A:A,Gemini建議!A:A,Gemini建議!B:B,"")</f>
        <v/>
      </c>
      <c r="M103" s="1"/>
      <c r="N103" s="1"/>
    </row>
    <row r="104" spans="1:14" ht="30" hidden="1" customHeight="1">
      <c r="A104" s="2" t="str">
        <f>表格2[[#This Row],[站名]]&amp;表格2[[#This Row],[城市]]</f>
        <v>大河苗栗縣</v>
      </c>
      <c r="B104" s="1" t="s">
        <v>428</v>
      </c>
      <c r="C104" s="1" t="s">
        <v>429</v>
      </c>
      <c r="D104" s="1">
        <v>24.618099999999998</v>
      </c>
      <c r="E104" s="1">
        <v>120.9486</v>
      </c>
      <c r="F104" s="1" t="s">
        <v>430</v>
      </c>
      <c r="G104" s="1" t="s">
        <v>2541</v>
      </c>
      <c r="H104" s="1" t="s">
        <v>374</v>
      </c>
      <c r="I104" s="1" t="s">
        <v>431</v>
      </c>
      <c r="J104" s="1"/>
      <c r="K104" s="2">
        <v>42208</v>
      </c>
      <c r="L104" s="3" t="str">
        <f>_xlfn.XLOOKUP(A:A,Gemini建議!A:A,Gemini建議!B:B,"")</f>
        <v/>
      </c>
      <c r="M104" s="1"/>
      <c r="N104" s="1"/>
    </row>
    <row r="105" spans="1:14" ht="30" hidden="1" customHeight="1">
      <c r="A105" s="2" t="str">
        <f>表格2[[#This Row],[站名]]&amp;表格2[[#This Row],[城市]]</f>
        <v>高鐵苗栗苗栗縣</v>
      </c>
      <c r="B105" s="1" t="s">
        <v>432</v>
      </c>
      <c r="C105" s="1" t="s">
        <v>433</v>
      </c>
      <c r="D105" s="1">
        <v>24.607299999999999</v>
      </c>
      <c r="E105" s="1">
        <v>120.8261</v>
      </c>
      <c r="F105" s="1" t="s">
        <v>138</v>
      </c>
      <c r="G105" s="1" t="s">
        <v>2541</v>
      </c>
      <c r="H105" s="1" t="s">
        <v>374</v>
      </c>
      <c r="I105" s="1" t="s">
        <v>434</v>
      </c>
      <c r="J105" s="1"/>
      <c r="K105" s="2">
        <v>42948</v>
      </c>
      <c r="L105" s="3" t="str">
        <f>_xlfn.XLOOKUP(A:A,Gemini建議!A:A,Gemini建議!B:B,"")</f>
        <v/>
      </c>
      <c r="M105" s="1"/>
      <c r="N105" s="1"/>
    </row>
    <row r="106" spans="1:14" ht="30" hidden="1" customHeight="1">
      <c r="A106" s="2" t="str">
        <f>表格2[[#This Row],[站名]]&amp;表格2[[#This Row],[城市]]</f>
        <v>海埔苗栗縣</v>
      </c>
      <c r="B106" s="1" t="s">
        <v>435</v>
      </c>
      <c r="C106" s="1" t="s">
        <v>436</v>
      </c>
      <c r="D106" s="1">
        <v>24.648800000000001</v>
      </c>
      <c r="E106" s="1">
        <v>120.7724</v>
      </c>
      <c r="F106" s="1" t="s">
        <v>94</v>
      </c>
      <c r="G106" s="1" t="s">
        <v>2541</v>
      </c>
      <c r="H106" s="1" t="s">
        <v>374</v>
      </c>
      <c r="I106" s="1" t="s">
        <v>437</v>
      </c>
      <c r="J106" s="1"/>
      <c r="K106" s="2">
        <v>44629</v>
      </c>
      <c r="L106" s="3" t="str">
        <f>_xlfn.XLOOKUP(A:A,Gemini建議!A:A,Gemini建議!B:B,"")</f>
        <v/>
      </c>
      <c r="M106" s="1"/>
      <c r="N106" s="1"/>
    </row>
    <row r="107" spans="1:14" ht="30" hidden="1" customHeight="1">
      <c r="A107" s="2" t="str">
        <f>表格2[[#This Row],[站名]]&amp;表格2[[#This Row],[城市]]</f>
        <v>通霄漁港苗栗縣</v>
      </c>
      <c r="B107" s="1" t="s">
        <v>438</v>
      </c>
      <c r="C107" s="1" t="s">
        <v>439</v>
      </c>
      <c r="D107" s="1">
        <v>24.4986</v>
      </c>
      <c r="E107" s="1">
        <v>120.6739</v>
      </c>
      <c r="F107" s="1" t="s">
        <v>103</v>
      </c>
      <c r="G107" s="1" t="s">
        <v>2541</v>
      </c>
      <c r="H107" s="1" t="s">
        <v>374</v>
      </c>
      <c r="I107" s="1" t="s">
        <v>440</v>
      </c>
      <c r="J107" s="1"/>
      <c r="K107" s="2">
        <v>44629</v>
      </c>
      <c r="L107" s="3" t="str">
        <f>_xlfn.XLOOKUP(A:A,Gemini建議!A:A,Gemini建議!B:B,"")</f>
        <v/>
      </c>
      <c r="M107" s="1"/>
      <c r="N107" s="1"/>
    </row>
    <row r="108" spans="1:14" ht="30" hidden="1" customHeight="1">
      <c r="A108" s="2" t="str">
        <f>表格2[[#This Row],[站名]]&amp;表格2[[#This Row],[城市]]</f>
        <v>龍鳳苗栗縣</v>
      </c>
      <c r="B108" s="1" t="s">
        <v>441</v>
      </c>
      <c r="C108" s="1" t="s">
        <v>442</v>
      </c>
      <c r="D108" s="1">
        <v>24.7</v>
      </c>
      <c r="E108" s="1">
        <v>120.8591</v>
      </c>
      <c r="F108" s="1" t="s">
        <v>162</v>
      </c>
      <c r="G108" s="1" t="s">
        <v>2541</v>
      </c>
      <c r="H108" s="1" t="s">
        <v>374</v>
      </c>
      <c r="I108" s="1" t="s">
        <v>443</v>
      </c>
      <c r="J108" s="1"/>
      <c r="K108" s="2">
        <v>44629</v>
      </c>
      <c r="L108" s="3" t="str">
        <f>_xlfn.XLOOKUP(A:A,Gemini建議!A:A,Gemini建議!B:B,"")</f>
        <v/>
      </c>
      <c r="M108" s="1"/>
      <c r="N108" s="1"/>
    </row>
    <row r="109" spans="1:14" ht="30" customHeight="1">
      <c r="A109" s="2" t="str">
        <f>表格2[[#This Row],[站名]]&amp;表格2[[#This Row],[城市]]</f>
        <v>雪見苗栗縣</v>
      </c>
      <c r="B109" s="1" t="s">
        <v>444</v>
      </c>
      <c r="C109" s="1" t="s">
        <v>445</v>
      </c>
      <c r="D109" s="1">
        <v>24.425999999999998</v>
      </c>
      <c r="E109" s="1">
        <v>121.01349999999999</v>
      </c>
      <c r="F109" s="1" t="s">
        <v>446</v>
      </c>
      <c r="G109" s="1" t="s">
        <v>2541</v>
      </c>
      <c r="H109" s="1" t="s">
        <v>374</v>
      </c>
      <c r="I109" s="1" t="s">
        <v>447</v>
      </c>
      <c r="J109" s="1"/>
      <c r="K109" s="2">
        <v>45743</v>
      </c>
      <c r="L109" s="3" t="str">
        <f>_xlfn.XLOOKUP(A:A,Gemini建議!A:A,Gemini建議!B:B,"")</f>
        <v>高海拔測站 (全)</v>
      </c>
      <c r="M109" s="1"/>
      <c r="N109" s="1"/>
    </row>
    <row r="110" spans="1:14" ht="30" customHeight="1">
      <c r="A110" s="2" t="str">
        <f>表格2[[#This Row],[站名]]&amp;表格2[[#This Row],[城市]]</f>
        <v>松安苗栗縣</v>
      </c>
      <c r="B110" s="1" t="s">
        <v>448</v>
      </c>
      <c r="C110" s="1" t="s">
        <v>449</v>
      </c>
      <c r="D110" s="1">
        <v>24.3979</v>
      </c>
      <c r="E110" s="1">
        <v>120.986</v>
      </c>
      <c r="F110" s="1" t="s">
        <v>450</v>
      </c>
      <c r="G110" s="1" t="s">
        <v>2541</v>
      </c>
      <c r="H110" s="1" t="s">
        <v>374</v>
      </c>
      <c r="I110" s="1" t="s">
        <v>451</v>
      </c>
      <c r="J110" s="1"/>
      <c r="K110" s="2">
        <v>45743</v>
      </c>
      <c r="L110" s="3" t="str">
        <f>_xlfn.XLOOKUP(A:A,Gemini建議!A:A,Gemini建議!B:B,"")</f>
        <v>高海拔測站 (全)</v>
      </c>
      <c r="M110" s="1"/>
      <c r="N110" s="1"/>
    </row>
    <row r="111" spans="1:14" ht="30" customHeight="1">
      <c r="A111" s="2" t="str">
        <f>表格2[[#This Row],[站名]]&amp;表格2[[#This Row],[城市]]</f>
        <v>觀霧分站苗栗縣</v>
      </c>
      <c r="B111" s="1" t="s">
        <v>452</v>
      </c>
      <c r="C111" s="1" t="s">
        <v>453</v>
      </c>
      <c r="D111" s="1">
        <v>24.505800000000001</v>
      </c>
      <c r="E111" s="1">
        <v>121.1139</v>
      </c>
      <c r="F111" s="1" t="s">
        <v>454</v>
      </c>
      <c r="G111" s="1" t="s">
        <v>2541</v>
      </c>
      <c r="H111" s="1" t="s">
        <v>374</v>
      </c>
      <c r="I111" s="1" t="s">
        <v>455</v>
      </c>
      <c r="J111" s="1"/>
      <c r="K111" s="2">
        <v>45743</v>
      </c>
      <c r="L111" s="3" t="str">
        <f>_xlfn.XLOOKUP(A:A,Gemini建議!A:A,Gemini建議!B:B,"")</f>
        <v>高海拔測站 (全)</v>
      </c>
      <c r="M111" s="1"/>
      <c r="N111" s="1"/>
    </row>
    <row r="112" spans="1:14" ht="30" hidden="1" customHeight="1">
      <c r="A112" s="2" t="str">
        <f>表格2[[#This Row],[站名]]&amp;表格2[[#This Row],[城市]]</f>
        <v>雪山圈谷臺中市</v>
      </c>
      <c r="B112" s="1" t="s">
        <v>456</v>
      </c>
      <c r="C112" s="1" t="s">
        <v>457</v>
      </c>
      <c r="D112" s="1">
        <v>24.3886</v>
      </c>
      <c r="E112" s="1">
        <v>121.2363</v>
      </c>
      <c r="F112" s="1" t="s">
        <v>458</v>
      </c>
      <c r="G112" s="1" t="s">
        <v>2542</v>
      </c>
      <c r="H112" s="1" t="s">
        <v>459</v>
      </c>
      <c r="I112" s="1" t="s">
        <v>460</v>
      </c>
      <c r="J112" s="1"/>
      <c r="K112" s="2">
        <v>42508</v>
      </c>
      <c r="L112" s="3" t="str">
        <f>_xlfn.XLOOKUP(A:A,Gemini建議!A:A,Gemini建議!B:B,"")</f>
        <v/>
      </c>
      <c r="M112" s="1"/>
      <c r="N112" s="1"/>
    </row>
    <row r="113" spans="1:14" ht="30" hidden="1" customHeight="1">
      <c r="A113" s="2" t="str">
        <f>表格2[[#This Row],[站名]]&amp;表格2[[#This Row],[城市]]</f>
        <v>石岡臺中市</v>
      </c>
      <c r="B113" s="1" t="s">
        <v>461</v>
      </c>
      <c r="C113" s="1" t="s">
        <v>462</v>
      </c>
      <c r="D113" s="1">
        <v>24.2761</v>
      </c>
      <c r="E113" s="1">
        <v>120.77760000000001</v>
      </c>
      <c r="F113" s="1" t="s">
        <v>463</v>
      </c>
      <c r="G113" s="1" t="s">
        <v>2542</v>
      </c>
      <c r="H113" s="1" t="s">
        <v>459</v>
      </c>
      <c r="I113" s="1" t="s">
        <v>464</v>
      </c>
      <c r="J113" s="1"/>
      <c r="K113" s="2">
        <v>42626</v>
      </c>
      <c r="L113" s="3" t="str">
        <f>_xlfn.XLOOKUP(A:A,Gemini建議!A:A,Gemini建議!B:B,"")</f>
        <v/>
      </c>
      <c r="M113" s="1"/>
      <c r="N113" s="1"/>
    </row>
    <row r="114" spans="1:14" ht="30" customHeight="1">
      <c r="A114" s="2" t="str">
        <f>表格2[[#This Row],[站名]]&amp;表格2[[#This Row],[城市]]</f>
        <v>中坑臺中市</v>
      </c>
      <c r="B114" s="1" t="s">
        <v>465</v>
      </c>
      <c r="C114" s="1" t="s">
        <v>466</v>
      </c>
      <c r="D114" s="1">
        <v>24.2485</v>
      </c>
      <c r="E114" s="1">
        <v>120.9033</v>
      </c>
      <c r="F114" s="1" t="s">
        <v>467</v>
      </c>
      <c r="G114" s="1" t="s">
        <v>2542</v>
      </c>
      <c r="H114" s="1" t="s">
        <v>459</v>
      </c>
      <c r="I114" s="1" t="s">
        <v>468</v>
      </c>
      <c r="J114" s="1"/>
      <c r="K114" s="2">
        <v>42881</v>
      </c>
      <c r="L114" s="3" t="str">
        <f>_xlfn.XLOOKUP(A:A,Gemini建議!A:A,Gemini建議!B:B,"")</f>
        <v>高海拔測站 (全)</v>
      </c>
      <c r="M114" s="1"/>
      <c r="N114" s="1"/>
    </row>
    <row r="115" spans="1:14" ht="30" hidden="1" customHeight="1">
      <c r="A115" s="2" t="str">
        <f>表格2[[#This Row],[站名]]&amp;表格2[[#This Row],[城市]]</f>
        <v>審馬陣臺中市</v>
      </c>
      <c r="B115" s="1" t="s">
        <v>469</v>
      </c>
      <c r="C115" s="1" t="s">
        <v>470</v>
      </c>
      <c r="D115" s="1">
        <v>24.381699999999999</v>
      </c>
      <c r="E115" s="1">
        <v>121.4203</v>
      </c>
      <c r="F115" s="1" t="s">
        <v>471</v>
      </c>
      <c r="G115" s="1" t="s">
        <v>2542</v>
      </c>
      <c r="H115" s="1" t="s">
        <v>459</v>
      </c>
      <c r="I115" s="1" t="s">
        <v>472</v>
      </c>
      <c r="J115" s="1"/>
      <c r="K115" s="2">
        <v>43097</v>
      </c>
      <c r="L115" s="3" t="str">
        <f>_xlfn.XLOOKUP(A:A,Gemini建議!A:A,Gemini建議!B:B,"")</f>
        <v/>
      </c>
      <c r="M115" s="1"/>
      <c r="N115" s="1"/>
    </row>
    <row r="116" spans="1:14" ht="30" hidden="1" customHeight="1">
      <c r="A116" s="2" t="str">
        <f>表格2[[#This Row],[站名]]&amp;表格2[[#This Row],[城市]]</f>
        <v>南湖圈谷臺中市</v>
      </c>
      <c r="B116" s="1" t="s">
        <v>473</v>
      </c>
      <c r="C116" s="1" t="s">
        <v>474</v>
      </c>
      <c r="D116" s="1">
        <v>24.363700000000001</v>
      </c>
      <c r="E116" s="1">
        <v>121.4447</v>
      </c>
      <c r="F116" s="1" t="s">
        <v>475</v>
      </c>
      <c r="G116" s="1" t="s">
        <v>2542</v>
      </c>
      <c r="H116" s="1" t="s">
        <v>459</v>
      </c>
      <c r="I116" s="1" t="s">
        <v>476</v>
      </c>
      <c r="J116" s="1"/>
      <c r="K116" s="2">
        <v>43097</v>
      </c>
      <c r="L116" s="3" t="str">
        <f>_xlfn.XLOOKUP(A:A,Gemini建議!A:A,Gemini建議!B:B,"")</f>
        <v/>
      </c>
      <c r="M116" s="1"/>
      <c r="N116" s="1"/>
    </row>
    <row r="117" spans="1:14" ht="30" customHeight="1">
      <c r="A117" s="2" t="str">
        <f>表格2[[#This Row],[站名]]&amp;表格2[[#This Row],[城市]]</f>
        <v>東勢臺中市</v>
      </c>
      <c r="B117" s="1" t="s">
        <v>477</v>
      </c>
      <c r="C117" s="1" t="s">
        <v>478</v>
      </c>
      <c r="D117" s="1">
        <v>24.246400000000001</v>
      </c>
      <c r="E117" s="1">
        <v>120.833</v>
      </c>
      <c r="F117" s="1" t="s">
        <v>479</v>
      </c>
      <c r="G117" s="1" t="s">
        <v>2542</v>
      </c>
      <c r="H117" s="1" t="s">
        <v>459</v>
      </c>
      <c r="I117" s="1" t="s">
        <v>480</v>
      </c>
      <c r="J117" s="1" t="s">
        <v>481</v>
      </c>
      <c r="K117" s="2">
        <v>40848</v>
      </c>
      <c r="L117" s="3" t="str">
        <f>_xlfn.XLOOKUP(A:A,Gemini建議!A:A,Gemini建議!B:B,"")</f>
        <v>低海拔代表站</v>
      </c>
      <c r="M117" s="1"/>
      <c r="N117" s="1"/>
    </row>
    <row r="118" spans="1:14" ht="30" hidden="1" customHeight="1">
      <c r="A118" s="2" t="str">
        <f>表格2[[#This Row],[站名]]&amp;表格2[[#This Row],[城市]]</f>
        <v>大坑臺中市</v>
      </c>
      <c r="B118" s="1" t="s">
        <v>482</v>
      </c>
      <c r="C118" s="1" t="s">
        <v>483</v>
      </c>
      <c r="D118" s="1">
        <v>24.173100000000002</v>
      </c>
      <c r="E118" s="1">
        <v>120.7223</v>
      </c>
      <c r="F118" s="1" t="s">
        <v>484</v>
      </c>
      <c r="G118" s="1" t="s">
        <v>2542</v>
      </c>
      <c r="H118" s="1" t="s">
        <v>459</v>
      </c>
      <c r="I118" s="1" t="s">
        <v>485</v>
      </c>
      <c r="J118" s="1" t="s">
        <v>486</v>
      </c>
      <c r="K118" s="2">
        <v>40848</v>
      </c>
      <c r="L118" s="3" t="str">
        <f>_xlfn.XLOOKUP(A:A,Gemini建議!A:A,Gemini建議!B:B,"")</f>
        <v/>
      </c>
      <c r="M118" s="1"/>
      <c r="N118" s="1"/>
    </row>
    <row r="119" spans="1:14" ht="30" hidden="1" customHeight="1">
      <c r="A119" s="2" t="str">
        <f>表格2[[#This Row],[站名]]&amp;表格2[[#This Row],[城市]]</f>
        <v>神岡臺中市</v>
      </c>
      <c r="B119" s="1" t="s">
        <v>487</v>
      </c>
      <c r="C119" s="1" t="s">
        <v>488</v>
      </c>
      <c r="D119" s="1">
        <v>24.272500000000001</v>
      </c>
      <c r="E119" s="1">
        <v>120.6583</v>
      </c>
      <c r="F119" s="1" t="s">
        <v>489</v>
      </c>
      <c r="G119" s="1" t="s">
        <v>2542</v>
      </c>
      <c r="H119" s="1" t="s">
        <v>459</v>
      </c>
      <c r="I119" s="1" t="s">
        <v>490</v>
      </c>
      <c r="J119" s="1" t="s">
        <v>491</v>
      </c>
      <c r="K119" s="2">
        <v>40848</v>
      </c>
      <c r="L119" s="3" t="str">
        <f>_xlfn.XLOOKUP(A:A,Gemini建議!A:A,Gemini建議!B:B,"")</f>
        <v/>
      </c>
      <c r="M119" s="1"/>
      <c r="N119" s="1"/>
    </row>
    <row r="120" spans="1:14" ht="30" hidden="1" customHeight="1">
      <c r="A120" s="2" t="str">
        <f>表格2[[#This Row],[站名]]&amp;表格2[[#This Row],[城市]]</f>
        <v>大安臺中市</v>
      </c>
      <c r="B120" s="1" t="s">
        <v>492</v>
      </c>
      <c r="C120" s="1" t="s">
        <v>493</v>
      </c>
      <c r="D120" s="1">
        <v>24.345099999999999</v>
      </c>
      <c r="E120" s="1">
        <v>120.58799999999999</v>
      </c>
      <c r="F120" s="1" t="s">
        <v>122</v>
      </c>
      <c r="G120" s="1" t="s">
        <v>2542</v>
      </c>
      <c r="H120" s="1" t="s">
        <v>459</v>
      </c>
      <c r="I120" s="1" t="s">
        <v>494</v>
      </c>
      <c r="J120" s="1" t="s">
        <v>402</v>
      </c>
      <c r="K120" s="2">
        <v>40609</v>
      </c>
      <c r="L120" s="3" t="str">
        <f>_xlfn.XLOOKUP(A:A,Gemini建議!A:A,Gemini建議!B:B,"")</f>
        <v/>
      </c>
      <c r="M120" s="1"/>
      <c r="N120" s="1"/>
    </row>
    <row r="121" spans="1:14" ht="30" hidden="1" customHeight="1">
      <c r="A121" s="2" t="str">
        <f>表格2[[#This Row],[站名]]&amp;表格2[[#This Row],[城市]]</f>
        <v>后里臺中市</v>
      </c>
      <c r="B121" s="1" t="s">
        <v>495</v>
      </c>
      <c r="C121" s="1" t="s">
        <v>496</v>
      </c>
      <c r="D121" s="1">
        <v>24.310400000000001</v>
      </c>
      <c r="E121" s="1">
        <v>120.72969999999999</v>
      </c>
      <c r="F121" s="1" t="s">
        <v>497</v>
      </c>
      <c r="G121" s="1" t="s">
        <v>2542</v>
      </c>
      <c r="H121" s="1" t="s">
        <v>459</v>
      </c>
      <c r="I121" s="1" t="s">
        <v>498</v>
      </c>
      <c r="J121" s="1"/>
      <c r="K121" s="2">
        <v>40611</v>
      </c>
      <c r="L121" s="3" t="str">
        <f>_xlfn.XLOOKUP(A:A,Gemini建議!A:A,Gemini建議!B:B,"")</f>
        <v/>
      </c>
      <c r="M121" s="1"/>
      <c r="N121" s="1"/>
    </row>
    <row r="122" spans="1:14" ht="30" hidden="1" customHeight="1">
      <c r="A122" s="2" t="str">
        <f>表格2[[#This Row],[站名]]&amp;表格2[[#This Row],[城市]]</f>
        <v>豐原臺中市</v>
      </c>
      <c r="B122" s="1" t="s">
        <v>499</v>
      </c>
      <c r="C122" s="1" t="s">
        <v>500</v>
      </c>
      <c r="D122" s="1">
        <v>24.254300000000001</v>
      </c>
      <c r="E122" s="1">
        <v>120.72069999999999</v>
      </c>
      <c r="F122" s="1" t="s">
        <v>501</v>
      </c>
      <c r="G122" s="1" t="s">
        <v>2542</v>
      </c>
      <c r="H122" s="1" t="s">
        <v>459</v>
      </c>
      <c r="I122" s="1" t="s">
        <v>502</v>
      </c>
      <c r="J122" s="1"/>
      <c r="K122" s="2">
        <v>40640</v>
      </c>
      <c r="L122" s="3" t="str">
        <f>_xlfn.XLOOKUP(A:A,Gemini建議!A:A,Gemini建議!B:B,"")</f>
        <v/>
      </c>
      <c r="M122" s="1"/>
      <c r="N122" s="1"/>
    </row>
    <row r="123" spans="1:14" ht="30" hidden="1" customHeight="1">
      <c r="A123" s="2" t="str">
        <f>表格2[[#This Row],[站名]]&amp;表格2[[#This Row],[城市]]</f>
        <v>大里臺中市</v>
      </c>
      <c r="B123" s="1" t="s">
        <v>503</v>
      </c>
      <c r="C123" s="1" t="s">
        <v>504</v>
      </c>
      <c r="D123" s="1">
        <v>24.092500000000001</v>
      </c>
      <c r="E123" s="1">
        <v>120.70140000000001</v>
      </c>
      <c r="F123" s="1" t="s">
        <v>505</v>
      </c>
      <c r="G123" s="1" t="s">
        <v>2542</v>
      </c>
      <c r="H123" s="1" t="s">
        <v>459</v>
      </c>
      <c r="I123" s="1" t="s">
        <v>506</v>
      </c>
      <c r="J123" s="1"/>
      <c r="K123" s="2">
        <v>40689</v>
      </c>
      <c r="L123" s="3" t="str">
        <f>_xlfn.XLOOKUP(A:A,Gemini建議!A:A,Gemini建議!B:B,"")</f>
        <v/>
      </c>
      <c r="M123" s="1"/>
      <c r="N123" s="1"/>
    </row>
    <row r="124" spans="1:14" ht="30" hidden="1" customHeight="1">
      <c r="A124" s="2" t="str">
        <f>表格2[[#This Row],[站名]]&amp;表格2[[#This Row],[城市]]</f>
        <v>潭子臺中市</v>
      </c>
      <c r="B124" s="1" t="s">
        <v>507</v>
      </c>
      <c r="C124" s="1" t="s">
        <v>508</v>
      </c>
      <c r="D124" s="1">
        <v>24.213100000000001</v>
      </c>
      <c r="E124" s="1">
        <v>120.7039</v>
      </c>
      <c r="F124" s="1" t="s">
        <v>509</v>
      </c>
      <c r="G124" s="1" t="s">
        <v>2542</v>
      </c>
      <c r="H124" s="1" t="s">
        <v>459</v>
      </c>
      <c r="I124" s="1" t="s">
        <v>510</v>
      </c>
      <c r="J124" s="1"/>
      <c r="K124" s="2">
        <v>40631</v>
      </c>
      <c r="L124" s="3" t="str">
        <f>_xlfn.XLOOKUP(A:A,Gemini建議!A:A,Gemini建議!B:B,"")</f>
        <v/>
      </c>
      <c r="M124" s="1"/>
      <c r="N124" s="1"/>
    </row>
    <row r="125" spans="1:14" ht="30" hidden="1" customHeight="1">
      <c r="A125" s="2" t="str">
        <f>表格2[[#This Row],[站名]]&amp;表格2[[#This Row],[城市]]</f>
        <v>清水臺中市</v>
      </c>
      <c r="B125" s="1" t="s">
        <v>511</v>
      </c>
      <c r="C125" s="1" t="s">
        <v>512</v>
      </c>
      <c r="D125" s="1">
        <v>24.3123</v>
      </c>
      <c r="E125" s="1">
        <v>120.5622</v>
      </c>
      <c r="F125" s="1" t="s">
        <v>162</v>
      </c>
      <c r="G125" s="1" t="s">
        <v>2542</v>
      </c>
      <c r="H125" s="1" t="s">
        <v>459</v>
      </c>
      <c r="I125" s="1" t="s">
        <v>513</v>
      </c>
      <c r="J125" s="1" t="s">
        <v>402</v>
      </c>
      <c r="K125" s="2">
        <v>40574</v>
      </c>
      <c r="L125" s="3" t="str">
        <f>_xlfn.XLOOKUP(A:A,Gemini建議!A:A,Gemini建議!B:B,"")</f>
        <v/>
      </c>
      <c r="M125" s="1"/>
      <c r="N125" s="1"/>
    </row>
    <row r="126" spans="1:14" ht="30" hidden="1" customHeight="1">
      <c r="A126" s="2" t="str">
        <f>表格2[[#This Row],[站名]]&amp;表格2[[#This Row],[城市]]</f>
        <v>外埔臺中市</v>
      </c>
      <c r="B126" s="1" t="s">
        <v>514</v>
      </c>
      <c r="C126" s="1" t="s">
        <v>515</v>
      </c>
      <c r="D126" s="1">
        <v>24.347799999999999</v>
      </c>
      <c r="E126" s="1">
        <v>120.70569999999999</v>
      </c>
      <c r="F126" s="1" t="s">
        <v>516</v>
      </c>
      <c r="G126" s="1" t="s">
        <v>2542</v>
      </c>
      <c r="H126" s="1" t="s">
        <v>459</v>
      </c>
      <c r="I126" s="1" t="s">
        <v>517</v>
      </c>
      <c r="J126" s="1"/>
      <c r="K126" s="2">
        <v>40647</v>
      </c>
      <c r="L126" s="3" t="str">
        <f>_xlfn.XLOOKUP(A:A,Gemini建議!A:A,Gemini建議!B:B,"")</f>
        <v/>
      </c>
      <c r="M126" s="1"/>
      <c r="N126" s="1"/>
    </row>
    <row r="127" spans="1:14" ht="30" hidden="1" customHeight="1">
      <c r="A127" s="2" t="str">
        <f>表格2[[#This Row],[站名]]&amp;表格2[[#This Row],[城市]]</f>
        <v>龍井臺中市</v>
      </c>
      <c r="B127" s="1" t="s">
        <v>518</v>
      </c>
      <c r="C127" s="1" t="s">
        <v>519</v>
      </c>
      <c r="D127" s="1">
        <v>24.1845</v>
      </c>
      <c r="E127" s="1">
        <v>120.529</v>
      </c>
      <c r="F127" s="1" t="s">
        <v>103</v>
      </c>
      <c r="G127" s="1" t="s">
        <v>2542</v>
      </c>
      <c r="H127" s="1" t="s">
        <v>459</v>
      </c>
      <c r="I127" s="1" t="s">
        <v>520</v>
      </c>
      <c r="J127" s="1" t="s">
        <v>402</v>
      </c>
      <c r="K127" s="2">
        <v>40574</v>
      </c>
      <c r="L127" s="3" t="str">
        <f>_xlfn.XLOOKUP(A:A,Gemini建議!A:A,Gemini建議!B:B,"")</f>
        <v/>
      </c>
      <c r="M127" s="1"/>
      <c r="N127" s="1"/>
    </row>
    <row r="128" spans="1:14" ht="30" hidden="1" customHeight="1">
      <c r="A128" s="2" t="str">
        <f>表格2[[#This Row],[站名]]&amp;表格2[[#This Row],[城市]]</f>
        <v>烏日臺中市</v>
      </c>
      <c r="B128" s="1" t="s">
        <v>521</v>
      </c>
      <c r="C128" s="1" t="s">
        <v>522</v>
      </c>
      <c r="D128" s="1">
        <v>24.107099999999999</v>
      </c>
      <c r="E128" s="1">
        <v>120.6241</v>
      </c>
      <c r="F128" s="1" t="s">
        <v>523</v>
      </c>
      <c r="G128" s="1" t="s">
        <v>2542</v>
      </c>
      <c r="H128" s="1" t="s">
        <v>459</v>
      </c>
      <c r="I128" s="1" t="s">
        <v>524</v>
      </c>
      <c r="J128" s="1" t="s">
        <v>402</v>
      </c>
      <c r="K128" s="2">
        <v>40689</v>
      </c>
      <c r="L128" s="3" t="str">
        <f>_xlfn.XLOOKUP(A:A,Gemini建議!A:A,Gemini建議!B:B,"")</f>
        <v/>
      </c>
      <c r="M128" s="1"/>
      <c r="N128" s="1"/>
    </row>
    <row r="129" spans="1:14" ht="30" hidden="1" customHeight="1">
      <c r="A129" s="2" t="str">
        <f>表格2[[#This Row],[站名]]&amp;表格2[[#This Row],[城市]]</f>
        <v>西屯臺中市</v>
      </c>
      <c r="B129" s="1" t="s">
        <v>525</v>
      </c>
      <c r="C129" s="1" t="s">
        <v>526</v>
      </c>
      <c r="D129" s="1">
        <v>24.179500000000001</v>
      </c>
      <c r="E129" s="1">
        <v>120.6413</v>
      </c>
      <c r="F129" s="1" t="s">
        <v>527</v>
      </c>
      <c r="G129" s="1" t="s">
        <v>2542</v>
      </c>
      <c r="H129" s="1" t="s">
        <v>459</v>
      </c>
      <c r="I129" s="1" t="s">
        <v>528</v>
      </c>
      <c r="J129" s="1" t="s">
        <v>402</v>
      </c>
      <c r="K129" s="2">
        <v>40673</v>
      </c>
      <c r="L129" s="3" t="str">
        <f>_xlfn.XLOOKUP(A:A,Gemini建議!A:A,Gemini建議!B:B,"")</f>
        <v/>
      </c>
      <c r="M129" s="1"/>
      <c r="N129" s="1"/>
    </row>
    <row r="130" spans="1:14" ht="30" hidden="1" customHeight="1">
      <c r="A130" s="2" t="str">
        <f>表格2[[#This Row],[站名]]&amp;表格2[[#This Row],[城市]]</f>
        <v>南屯臺中市</v>
      </c>
      <c r="B130" s="1" t="s">
        <v>529</v>
      </c>
      <c r="C130" s="1" t="s">
        <v>530</v>
      </c>
      <c r="D130" s="1">
        <v>24.137</v>
      </c>
      <c r="E130" s="1">
        <v>120.63800000000001</v>
      </c>
      <c r="F130" s="1" t="s">
        <v>531</v>
      </c>
      <c r="G130" s="1" t="s">
        <v>2542</v>
      </c>
      <c r="H130" s="1" t="s">
        <v>459</v>
      </c>
      <c r="I130" s="1" t="s">
        <v>532</v>
      </c>
      <c r="J130" s="1" t="s">
        <v>402</v>
      </c>
      <c r="K130" s="2">
        <v>40682</v>
      </c>
      <c r="L130" s="3" t="str">
        <f>_xlfn.XLOOKUP(A:A,Gemini建議!A:A,Gemini建議!B:B,"")</f>
        <v/>
      </c>
      <c r="M130" s="1"/>
      <c r="N130" s="1"/>
    </row>
    <row r="131" spans="1:14" ht="30" customHeight="1">
      <c r="A131" s="2" t="str">
        <f>表格2[[#This Row],[站名]]&amp;表格2[[#This Row],[城市]]</f>
        <v>新社臺中市</v>
      </c>
      <c r="B131" s="1" t="s">
        <v>533</v>
      </c>
      <c r="C131" s="1" t="s">
        <v>534</v>
      </c>
      <c r="D131" s="1">
        <v>24.200199999999999</v>
      </c>
      <c r="E131" s="1">
        <v>120.8158</v>
      </c>
      <c r="F131" s="1" t="s">
        <v>535</v>
      </c>
      <c r="G131" s="1" t="s">
        <v>2542</v>
      </c>
      <c r="H131" s="1" t="s">
        <v>459</v>
      </c>
      <c r="I131" s="1" t="s">
        <v>536</v>
      </c>
      <c r="J131" s="1"/>
      <c r="K131" s="2">
        <v>40604</v>
      </c>
      <c r="L131" s="3" t="str">
        <f>_xlfn.XLOOKUP(A:A,Gemini建議!A:A,Gemini建議!B:B,"")</f>
        <v>高海拔測站 (全)</v>
      </c>
      <c r="M131" s="1"/>
      <c r="N131" s="1"/>
    </row>
    <row r="132" spans="1:14" ht="30" hidden="1" customHeight="1">
      <c r="A132" s="2" t="str">
        <f>表格2[[#This Row],[站名]]&amp;表格2[[#This Row],[城市]]</f>
        <v>大雅(中科園區)臺中市</v>
      </c>
      <c r="B132" s="1" t="s">
        <v>537</v>
      </c>
      <c r="C132" s="1" t="s">
        <v>538</v>
      </c>
      <c r="D132" s="1">
        <v>24.215299999999999</v>
      </c>
      <c r="E132" s="1">
        <v>120.62439999999999</v>
      </c>
      <c r="F132" s="1" t="s">
        <v>539</v>
      </c>
      <c r="G132" s="1" t="s">
        <v>2542</v>
      </c>
      <c r="H132" s="1" t="s">
        <v>459</v>
      </c>
      <c r="I132" s="1" t="s">
        <v>540</v>
      </c>
      <c r="J132" s="1" t="s">
        <v>402</v>
      </c>
      <c r="K132" s="2">
        <v>42216</v>
      </c>
      <c r="L132" s="3" t="str">
        <f>_xlfn.XLOOKUP(A:A,Gemini建議!A:A,Gemini建議!B:B,"")</f>
        <v/>
      </c>
      <c r="M132" s="1"/>
      <c r="N132" s="1"/>
    </row>
    <row r="133" spans="1:14" ht="30" hidden="1" customHeight="1">
      <c r="A133" s="2" t="str">
        <f>表格2[[#This Row],[站名]]&amp;表格2[[#This Row],[城市]]</f>
        <v>桃山臺中市</v>
      </c>
      <c r="B133" s="1" t="s">
        <v>541</v>
      </c>
      <c r="C133" s="1" t="s">
        <v>542</v>
      </c>
      <c r="D133" s="1">
        <v>24.432700000000001</v>
      </c>
      <c r="E133" s="1">
        <v>121.3038</v>
      </c>
      <c r="F133" s="1" t="s">
        <v>543</v>
      </c>
      <c r="G133" s="1" t="s">
        <v>2542</v>
      </c>
      <c r="H133" s="1" t="s">
        <v>459</v>
      </c>
      <c r="I133" s="1" t="s">
        <v>544</v>
      </c>
      <c r="J133" s="1"/>
      <c r="K133" s="2">
        <v>42488</v>
      </c>
      <c r="L133" s="3" t="str">
        <f>_xlfn.XLOOKUP(A:A,Gemini建議!A:A,Gemini建議!B:B,"")</f>
        <v/>
      </c>
      <c r="M133" s="1"/>
      <c r="N133" s="1"/>
    </row>
    <row r="134" spans="1:14" ht="30" hidden="1" customHeight="1">
      <c r="A134" s="2" t="str">
        <f>表格2[[#This Row],[站名]]&amp;表格2[[#This Row],[城市]]</f>
        <v>雪山東峰臺中市</v>
      </c>
      <c r="B134" s="1" t="s">
        <v>545</v>
      </c>
      <c r="C134" s="1" t="s">
        <v>546</v>
      </c>
      <c r="D134" s="1">
        <v>24.3888</v>
      </c>
      <c r="E134" s="1">
        <v>121.2687</v>
      </c>
      <c r="F134" s="1" t="s">
        <v>547</v>
      </c>
      <c r="G134" s="1" t="s">
        <v>2542</v>
      </c>
      <c r="H134" s="1" t="s">
        <v>459</v>
      </c>
      <c r="I134" s="1" t="s">
        <v>548</v>
      </c>
      <c r="J134" s="1"/>
      <c r="K134" s="2">
        <v>42508</v>
      </c>
      <c r="L134" s="3" t="str">
        <f>_xlfn.XLOOKUP(A:A,Gemini建議!A:A,Gemini建議!B:B,"")</f>
        <v/>
      </c>
      <c r="M134" s="1"/>
      <c r="N134" s="1"/>
    </row>
    <row r="135" spans="1:14" ht="30" hidden="1" customHeight="1">
      <c r="A135" s="2" t="str">
        <f>表格2[[#This Row],[站名]]&amp;表格2[[#This Row],[城市]]</f>
        <v>松柏臺中市</v>
      </c>
      <c r="B135" s="1" t="s">
        <v>549</v>
      </c>
      <c r="C135" s="1" t="s">
        <v>550</v>
      </c>
      <c r="D135" s="1">
        <v>24.429099999999998</v>
      </c>
      <c r="E135" s="1">
        <v>120.61750000000001</v>
      </c>
      <c r="F135" s="1" t="s">
        <v>175</v>
      </c>
      <c r="G135" s="1" t="s">
        <v>2542</v>
      </c>
      <c r="H135" s="1" t="s">
        <v>459</v>
      </c>
      <c r="I135" s="1" t="s">
        <v>551</v>
      </c>
      <c r="J135" s="1"/>
      <c r="K135" s="2">
        <v>44629</v>
      </c>
      <c r="L135" s="3" t="str">
        <f>_xlfn.XLOOKUP(A:A,Gemini建議!A:A,Gemini建議!B:B,"")</f>
        <v/>
      </c>
      <c r="M135" s="1"/>
      <c r="N135" s="1"/>
    </row>
    <row r="136" spans="1:14" ht="30" hidden="1" customHeight="1">
      <c r="A136" s="2" t="str">
        <f>表格2[[#This Row],[站名]]&amp;表格2[[#This Row],[城市]]</f>
        <v>溫寮臺中市</v>
      </c>
      <c r="B136" s="1" t="s">
        <v>552</v>
      </c>
      <c r="C136" s="1" t="s">
        <v>553</v>
      </c>
      <c r="D136" s="1">
        <v>24.372199999999999</v>
      </c>
      <c r="E136" s="1">
        <v>120.5831</v>
      </c>
      <c r="F136" s="1" t="s">
        <v>162</v>
      </c>
      <c r="G136" s="1" t="s">
        <v>2542</v>
      </c>
      <c r="H136" s="1" t="s">
        <v>459</v>
      </c>
      <c r="I136" s="1" t="s">
        <v>554</v>
      </c>
      <c r="J136" s="1"/>
      <c r="K136" s="2">
        <v>44629</v>
      </c>
      <c r="L136" s="3" t="str">
        <f>_xlfn.XLOOKUP(A:A,Gemini建議!A:A,Gemini建議!B:B,"")</f>
        <v/>
      </c>
      <c r="M136" s="1"/>
      <c r="N136" s="1"/>
    </row>
    <row r="137" spans="1:14" ht="30" hidden="1" customHeight="1">
      <c r="A137" s="2" t="str">
        <f>表格2[[#This Row],[站名]]&amp;表格2[[#This Row],[城市]]</f>
        <v>梧棲臺中市</v>
      </c>
      <c r="B137" s="1" t="s">
        <v>555</v>
      </c>
      <c r="C137" s="1" t="s">
        <v>556</v>
      </c>
      <c r="D137" s="1">
        <v>24.256</v>
      </c>
      <c r="E137" s="1">
        <v>120.5234</v>
      </c>
      <c r="F137" s="1" t="s">
        <v>557</v>
      </c>
      <c r="G137" s="1" t="s">
        <v>2542</v>
      </c>
      <c r="H137" s="1" t="s">
        <v>459</v>
      </c>
      <c r="I137" s="1" t="s">
        <v>558</v>
      </c>
      <c r="J137" s="1" t="s">
        <v>559</v>
      </c>
      <c r="K137" s="2">
        <v>44774</v>
      </c>
      <c r="L137" s="3" t="str">
        <f>_xlfn.XLOOKUP(A:A,Gemini建議!A:A,Gemini建議!B:B,"")</f>
        <v/>
      </c>
      <c r="M137" s="1"/>
      <c r="N137" s="1"/>
    </row>
    <row r="138" spans="1:14" ht="30" hidden="1" customHeight="1">
      <c r="A138" s="2" t="str">
        <f>表格2[[#This Row],[站名]]&amp;表格2[[#This Row],[城市]]</f>
        <v>臺中電廠臺中市</v>
      </c>
      <c r="B138" s="1" t="s">
        <v>560</v>
      </c>
      <c r="C138" s="1" t="s">
        <v>561</v>
      </c>
      <c r="D138" s="1">
        <v>24.214600000000001</v>
      </c>
      <c r="E138" s="1">
        <v>120.4907</v>
      </c>
      <c r="F138" s="1" t="s">
        <v>94</v>
      </c>
      <c r="G138" s="1" t="s">
        <v>2542</v>
      </c>
      <c r="H138" s="1" t="s">
        <v>459</v>
      </c>
      <c r="I138" s="1" t="s">
        <v>562</v>
      </c>
      <c r="J138" s="1"/>
      <c r="K138" s="2">
        <v>44921</v>
      </c>
      <c r="L138" s="3" t="str">
        <f>_xlfn.XLOOKUP(A:A,Gemini建議!A:A,Gemini建議!B:B,"")</f>
        <v/>
      </c>
      <c r="M138" s="1"/>
      <c r="N138" s="1"/>
    </row>
    <row r="139" spans="1:14" ht="30" hidden="1" customHeight="1">
      <c r="A139" s="2" t="str">
        <f>表格2[[#This Row],[站名]]&amp;表格2[[#This Row],[城市]]</f>
        <v>霧峰臺中市</v>
      </c>
      <c r="B139" s="1" t="s">
        <v>563</v>
      </c>
      <c r="C139" s="1" t="s">
        <v>564</v>
      </c>
      <c r="D139" s="1">
        <v>24.041899999999998</v>
      </c>
      <c r="E139" s="1">
        <v>120.6995</v>
      </c>
      <c r="F139" s="1" t="s">
        <v>565</v>
      </c>
      <c r="G139" s="1" t="s">
        <v>2542</v>
      </c>
      <c r="H139" s="1" t="s">
        <v>459</v>
      </c>
      <c r="I139" s="1" t="s">
        <v>566</v>
      </c>
      <c r="J139" s="1"/>
      <c r="K139" s="2">
        <v>44995</v>
      </c>
      <c r="L139" s="3" t="str">
        <f>_xlfn.XLOOKUP(A:A,Gemini建議!A:A,Gemini建議!B:B,"")</f>
        <v/>
      </c>
      <c r="M139" s="1"/>
      <c r="N139" s="1"/>
    </row>
    <row r="140" spans="1:14" ht="30" customHeight="1">
      <c r="A140" s="2" t="str">
        <f>表格2[[#This Row],[站名]]&amp;表格2[[#This Row],[城市]]</f>
        <v>鞍馬山工作站臺中市</v>
      </c>
      <c r="B140" s="1" t="s">
        <v>567</v>
      </c>
      <c r="C140" s="1" t="s">
        <v>568</v>
      </c>
      <c r="D140" s="1">
        <v>24.267099999999999</v>
      </c>
      <c r="E140" s="1">
        <v>121.0008</v>
      </c>
      <c r="F140" s="1" t="s">
        <v>569</v>
      </c>
      <c r="G140" s="1" t="s">
        <v>2542</v>
      </c>
      <c r="H140" s="1" t="s">
        <v>459</v>
      </c>
      <c r="I140" s="1" t="s">
        <v>570</v>
      </c>
      <c r="J140" s="1"/>
      <c r="K140" s="2">
        <v>45743</v>
      </c>
      <c r="L140" s="3" t="str">
        <f>_xlfn.XLOOKUP(A:A,Gemini建議!A:A,Gemini建議!B:B,"")</f>
        <v>高海拔測站 (全)</v>
      </c>
      <c r="M140" s="1"/>
      <c r="N140" s="1"/>
    </row>
    <row r="141" spans="1:14" ht="30" customHeight="1">
      <c r="A141" s="2" t="str">
        <f>表格2[[#This Row],[站名]]&amp;表格2[[#This Row],[城市]]</f>
        <v>大雪山埡口臺中市</v>
      </c>
      <c r="B141" s="1" t="s">
        <v>571</v>
      </c>
      <c r="C141" s="1" t="s">
        <v>572</v>
      </c>
      <c r="D141" s="1">
        <v>24.268699999999999</v>
      </c>
      <c r="E141" s="1">
        <v>121.03060000000001</v>
      </c>
      <c r="F141" s="1" t="s">
        <v>573</v>
      </c>
      <c r="G141" s="1" t="s">
        <v>2542</v>
      </c>
      <c r="H141" s="1" t="s">
        <v>459</v>
      </c>
      <c r="I141" s="1" t="s">
        <v>574</v>
      </c>
      <c r="J141" s="1"/>
      <c r="K141" s="2">
        <v>45743</v>
      </c>
      <c r="L141" s="3" t="str">
        <f>_xlfn.XLOOKUP(A:A,Gemini建議!A:A,Gemini建議!B:B,"")</f>
        <v>高海拔測站 (全)</v>
      </c>
      <c r="M141" s="1"/>
      <c r="N141" s="1"/>
    </row>
    <row r="142" spans="1:14" ht="30" customHeight="1">
      <c r="A142" s="2" t="str">
        <f>表格2[[#This Row],[站名]]&amp;表格2[[#This Row],[城市]]</f>
        <v>小雪山天池臺中市</v>
      </c>
      <c r="B142" s="1" t="s">
        <v>575</v>
      </c>
      <c r="C142" s="1" t="s">
        <v>576</v>
      </c>
      <c r="D142" s="1">
        <v>24.280200000000001</v>
      </c>
      <c r="E142" s="1">
        <v>121.02630000000001</v>
      </c>
      <c r="F142" s="1" t="s">
        <v>577</v>
      </c>
      <c r="G142" s="1" t="s">
        <v>2542</v>
      </c>
      <c r="H142" s="1" t="s">
        <v>459</v>
      </c>
      <c r="I142" s="1" t="s">
        <v>578</v>
      </c>
      <c r="J142" s="1"/>
      <c r="K142" s="2">
        <v>45743</v>
      </c>
      <c r="L142" s="3" t="str">
        <f>_xlfn.XLOOKUP(A:A,Gemini建議!A:A,Gemini建議!B:B,"")</f>
        <v>高海拔測站 (全)</v>
      </c>
      <c r="M142" s="1"/>
      <c r="N142" s="1"/>
    </row>
    <row r="143" spans="1:14" ht="30" hidden="1" customHeight="1">
      <c r="A143" s="2" t="str">
        <f>表格2[[#This Row],[站名]]&amp;表格2[[#This Row],[城市]]</f>
        <v>小雪山林道臺中市</v>
      </c>
      <c r="B143" s="1" t="s">
        <v>579</v>
      </c>
      <c r="C143" s="1" t="s">
        <v>580</v>
      </c>
      <c r="D143" s="1">
        <v>24.295100000000001</v>
      </c>
      <c r="E143" s="1">
        <v>121.0365</v>
      </c>
      <c r="F143" s="1" t="s">
        <v>581</v>
      </c>
      <c r="G143" s="1" t="s">
        <v>2542</v>
      </c>
      <c r="H143" s="1" t="s">
        <v>459</v>
      </c>
      <c r="I143" s="1" t="s">
        <v>582</v>
      </c>
      <c r="J143" s="1"/>
      <c r="K143" s="2">
        <v>45743</v>
      </c>
      <c r="L143" s="3" t="str">
        <f>_xlfn.XLOOKUP(A:A,Gemini建議!A:A,Gemini建議!B:B,"")</f>
        <v/>
      </c>
      <c r="M143" s="1"/>
      <c r="N143" s="1"/>
    </row>
    <row r="144" spans="1:14" ht="30" customHeight="1">
      <c r="A144" s="2" t="str">
        <f>表格2[[#This Row],[站名]]&amp;表格2[[#This Row],[城市]]</f>
        <v>大雪山臺中市</v>
      </c>
      <c r="B144" s="1" t="s">
        <v>583</v>
      </c>
      <c r="C144" s="1" t="s">
        <v>584</v>
      </c>
      <c r="D144" s="1">
        <v>24.2547</v>
      </c>
      <c r="E144" s="1">
        <v>121.0074</v>
      </c>
      <c r="F144" s="1" t="s">
        <v>585</v>
      </c>
      <c r="G144" s="1" t="s">
        <v>2542</v>
      </c>
      <c r="H144" s="1" t="s">
        <v>459</v>
      </c>
      <c r="I144" s="1" t="s">
        <v>586</v>
      </c>
      <c r="J144" s="1"/>
      <c r="K144" s="2">
        <v>45743</v>
      </c>
      <c r="L144" s="3" t="str">
        <f>_xlfn.XLOOKUP(A:A,Gemini建議!A:A,Gemini建議!B:B,"")</f>
        <v>高海拔測站 (全)</v>
      </c>
      <c r="M144" s="1"/>
      <c r="N144" s="1"/>
    </row>
    <row r="145" spans="1:14" ht="30" customHeight="1">
      <c r="A145" s="2" t="str">
        <f>表格2[[#This Row],[站名]]&amp;表格2[[#This Row],[城市]]</f>
        <v>出雲山苗圃臺中市</v>
      </c>
      <c r="B145" s="1" t="s">
        <v>587</v>
      </c>
      <c r="C145" s="1" t="s">
        <v>588</v>
      </c>
      <c r="D145" s="1">
        <v>24.231000000000002</v>
      </c>
      <c r="E145" s="1">
        <v>120.90479999999999</v>
      </c>
      <c r="F145" s="1" t="s">
        <v>589</v>
      </c>
      <c r="G145" s="1" t="s">
        <v>2542</v>
      </c>
      <c r="H145" s="1" t="s">
        <v>459</v>
      </c>
      <c r="I145" s="1" t="s">
        <v>590</v>
      </c>
      <c r="J145" s="1"/>
      <c r="K145" s="2">
        <v>45743</v>
      </c>
      <c r="L145" s="3" t="str">
        <f>_xlfn.XLOOKUP(A:A,Gemini建議!A:A,Gemini建議!B:B,"")</f>
        <v>高海拔測站 (全)</v>
      </c>
      <c r="M145" s="1"/>
      <c r="N145" s="1"/>
    </row>
    <row r="146" spans="1:14" ht="30" customHeight="1">
      <c r="A146" s="2" t="str">
        <f>表格2[[#This Row],[站名]]&amp;表格2[[#This Row],[城市]]</f>
        <v>雪山橋臺中市</v>
      </c>
      <c r="B146" s="1" t="s">
        <v>591</v>
      </c>
      <c r="C146" s="1" t="s">
        <v>592</v>
      </c>
      <c r="D146" s="1">
        <v>24.2319</v>
      </c>
      <c r="E146" s="1">
        <v>120.9786</v>
      </c>
      <c r="F146" s="1" t="s">
        <v>593</v>
      </c>
      <c r="G146" s="1" t="s">
        <v>2542</v>
      </c>
      <c r="H146" s="1" t="s">
        <v>459</v>
      </c>
      <c r="I146" s="1" t="s">
        <v>594</v>
      </c>
      <c r="J146" s="1"/>
      <c r="K146" s="2">
        <v>45743</v>
      </c>
      <c r="L146" s="3" t="str">
        <f>_xlfn.XLOOKUP(A:A,Gemini建議!A:A,Gemini建議!B:B,"")</f>
        <v>高海拔測站 (全)</v>
      </c>
      <c r="M146" s="1"/>
      <c r="N146" s="1"/>
    </row>
    <row r="147" spans="1:14" ht="30" customHeight="1">
      <c r="A147" s="2" t="str">
        <f>表格2[[#This Row],[站名]]&amp;表格2[[#This Row],[城市]]</f>
        <v>八仙山苗圃臺中市</v>
      </c>
      <c r="B147" s="1" t="s">
        <v>595</v>
      </c>
      <c r="C147" s="1" t="s">
        <v>596</v>
      </c>
      <c r="D147" s="1">
        <v>24.192699999999999</v>
      </c>
      <c r="E147" s="1">
        <v>121.0014</v>
      </c>
      <c r="F147" s="1" t="s">
        <v>597</v>
      </c>
      <c r="G147" s="1" t="s">
        <v>2542</v>
      </c>
      <c r="H147" s="1" t="s">
        <v>459</v>
      </c>
      <c r="I147" s="1" t="s">
        <v>598</v>
      </c>
      <c r="J147" s="1"/>
      <c r="K147" s="2">
        <v>45743</v>
      </c>
      <c r="L147" s="3" t="str">
        <f>_xlfn.XLOOKUP(A:A,Gemini建議!A:A,Gemini建議!B:B,"")</f>
        <v>高海拔測站 (全)</v>
      </c>
      <c r="M147" s="1"/>
      <c r="N147" s="1"/>
    </row>
    <row r="148" spans="1:14" ht="30" customHeight="1">
      <c r="A148" s="2" t="str">
        <f>表格2[[#This Row],[站名]]&amp;表格2[[#This Row],[城市]]</f>
        <v>中橫21.6k臺中市</v>
      </c>
      <c r="B148" s="1" t="s">
        <v>599</v>
      </c>
      <c r="C148" s="1" t="s">
        <v>600</v>
      </c>
      <c r="D148" s="1">
        <v>24.2499</v>
      </c>
      <c r="E148" s="1">
        <v>121.1455</v>
      </c>
      <c r="F148" s="1" t="s">
        <v>601</v>
      </c>
      <c r="G148" s="1" t="s">
        <v>2542</v>
      </c>
      <c r="H148" s="1" t="s">
        <v>459</v>
      </c>
      <c r="I148" s="1" t="s">
        <v>602</v>
      </c>
      <c r="J148" s="1"/>
      <c r="K148" s="2">
        <v>45743</v>
      </c>
      <c r="L148" s="3" t="str">
        <f>_xlfn.XLOOKUP(A:A,Gemini建議!A:A,Gemini建議!B:B,"")</f>
        <v>高海拔測站 (全)</v>
      </c>
      <c r="M148" s="1"/>
      <c r="N148" s="1"/>
    </row>
    <row r="149" spans="1:14" ht="30" hidden="1" customHeight="1">
      <c r="A149" s="2" t="str">
        <f>表格2[[#This Row],[站名]]&amp;表格2[[#This Row],[城市]]</f>
        <v>大甲溪埔臺中市</v>
      </c>
      <c r="B149" s="1" t="s">
        <v>603</v>
      </c>
      <c r="C149" s="1" t="s">
        <v>604</v>
      </c>
      <c r="D149" s="1">
        <v>24.3706</v>
      </c>
      <c r="E149" s="1">
        <v>120.62009999999999</v>
      </c>
      <c r="F149" s="1" t="s">
        <v>605</v>
      </c>
      <c r="G149" s="1" t="s">
        <v>2542</v>
      </c>
      <c r="H149" s="1" t="s">
        <v>459</v>
      </c>
      <c r="I149" s="1" t="s">
        <v>606</v>
      </c>
      <c r="J149" s="1" t="s">
        <v>607</v>
      </c>
      <c r="K149" s="2">
        <v>45693</v>
      </c>
      <c r="L149" s="3" t="str">
        <f>_xlfn.XLOOKUP(A:A,Gemini建議!A:A,Gemini建議!B:B,"")</f>
        <v/>
      </c>
      <c r="M149" s="1"/>
      <c r="N149" s="1"/>
    </row>
    <row r="150" spans="1:14" ht="30" hidden="1" customHeight="1">
      <c r="A150" s="2" t="str">
        <f>表格2[[#This Row],[站名]]&amp;表格2[[#This Row],[城市]]</f>
        <v>芬園彰化縣</v>
      </c>
      <c r="B150" s="1" t="s">
        <v>608</v>
      </c>
      <c r="C150" s="1" t="s">
        <v>609</v>
      </c>
      <c r="D150" s="1">
        <v>24.015699999999999</v>
      </c>
      <c r="E150" s="1">
        <v>120.62130000000001</v>
      </c>
      <c r="F150" s="1" t="s">
        <v>610</v>
      </c>
      <c r="G150" s="1" t="s">
        <v>2543</v>
      </c>
      <c r="H150" s="1" t="s">
        <v>611</v>
      </c>
      <c r="I150" s="1" t="s">
        <v>612</v>
      </c>
      <c r="J150" s="1" t="s">
        <v>613</v>
      </c>
      <c r="K150" s="2">
        <v>40848</v>
      </c>
      <c r="L150" s="3" t="str">
        <f>_xlfn.XLOOKUP(A:A,Gemini建議!A:A,Gemini建議!B:B,"")</f>
        <v/>
      </c>
      <c r="M150" s="1"/>
      <c r="N150" s="1"/>
    </row>
    <row r="151" spans="1:14" ht="30" hidden="1" customHeight="1">
      <c r="A151" s="2" t="str">
        <f>表格2[[#This Row],[站名]]&amp;表格2[[#This Row],[城市]]</f>
        <v>員林彰化縣</v>
      </c>
      <c r="B151" s="1" t="s">
        <v>614</v>
      </c>
      <c r="C151" s="1" t="s">
        <v>615</v>
      </c>
      <c r="D151" s="1">
        <v>23.9465</v>
      </c>
      <c r="E151" s="1">
        <v>120.5856</v>
      </c>
      <c r="F151" s="1" t="s">
        <v>138</v>
      </c>
      <c r="G151" s="1" t="s">
        <v>2543</v>
      </c>
      <c r="H151" s="1" t="s">
        <v>611</v>
      </c>
      <c r="I151" s="1" t="s">
        <v>616</v>
      </c>
      <c r="J151" s="1" t="s">
        <v>617</v>
      </c>
      <c r="K151" s="2">
        <v>33730</v>
      </c>
      <c r="L151" s="3" t="str">
        <f>_xlfn.XLOOKUP(A:A,Gemini建議!A:A,Gemini建議!B:B,"")</f>
        <v/>
      </c>
      <c r="M151" s="1"/>
      <c r="N151" s="1"/>
    </row>
    <row r="152" spans="1:14" ht="30" hidden="1" customHeight="1">
      <c r="A152" s="2" t="str">
        <f>表格2[[#This Row],[站名]]&amp;表格2[[#This Row],[城市]]</f>
        <v>溪湖彰化縣</v>
      </c>
      <c r="B152" s="1" t="s">
        <v>618</v>
      </c>
      <c r="C152" s="1" t="s">
        <v>619</v>
      </c>
      <c r="D152" s="1">
        <v>23.948399999999999</v>
      </c>
      <c r="E152" s="1">
        <v>120.4791</v>
      </c>
      <c r="F152" s="1" t="s">
        <v>99</v>
      </c>
      <c r="G152" s="1" t="s">
        <v>2543</v>
      </c>
      <c r="H152" s="1" t="s">
        <v>611</v>
      </c>
      <c r="I152" s="1" t="s">
        <v>620</v>
      </c>
      <c r="J152" s="1" t="s">
        <v>621</v>
      </c>
      <c r="K152" s="2">
        <v>40848</v>
      </c>
      <c r="L152" s="3" t="str">
        <f>_xlfn.XLOOKUP(A:A,Gemini建議!A:A,Gemini建議!B:B,"")</f>
        <v/>
      </c>
      <c r="M152" s="1"/>
      <c r="N152" s="1"/>
    </row>
    <row r="153" spans="1:14" ht="30" customHeight="1">
      <c r="A153" s="2" t="str">
        <f>表格2[[#This Row],[站名]]&amp;表格2[[#This Row],[城市]]</f>
        <v>溪州彰化縣</v>
      </c>
      <c r="B153" s="1" t="s">
        <v>622</v>
      </c>
      <c r="C153" s="1" t="s">
        <v>623</v>
      </c>
      <c r="D153" s="1">
        <v>23.851600000000001</v>
      </c>
      <c r="E153" s="1">
        <v>120.4991</v>
      </c>
      <c r="F153" s="1" t="s">
        <v>171</v>
      </c>
      <c r="G153" s="1" t="s">
        <v>2543</v>
      </c>
      <c r="H153" s="1" t="s">
        <v>611</v>
      </c>
      <c r="I153" s="1" t="s">
        <v>624</v>
      </c>
      <c r="J153" s="1"/>
      <c r="K153" s="2">
        <v>42075</v>
      </c>
      <c r="L153" s="3" t="str">
        <f>_xlfn.XLOOKUP(A:A,Gemini建議!A:A,Gemini建議!B:B,"")</f>
        <v>低海拔代表站</v>
      </c>
      <c r="M153" s="1"/>
      <c r="N153" s="1"/>
    </row>
    <row r="154" spans="1:14" ht="30" hidden="1" customHeight="1">
      <c r="A154" s="2" t="str">
        <f>表格2[[#This Row],[站名]]&amp;表格2[[#This Row],[城市]]</f>
        <v>二林彰化縣</v>
      </c>
      <c r="B154" s="1" t="s">
        <v>625</v>
      </c>
      <c r="C154" s="1" t="s">
        <v>626</v>
      </c>
      <c r="D154" s="1">
        <v>23.903300000000002</v>
      </c>
      <c r="E154" s="1">
        <v>120.37609999999999</v>
      </c>
      <c r="F154" s="1" t="s">
        <v>99</v>
      </c>
      <c r="G154" s="1" t="s">
        <v>2543</v>
      </c>
      <c r="H154" s="1" t="s">
        <v>611</v>
      </c>
      <c r="I154" s="1" t="s">
        <v>627</v>
      </c>
      <c r="J154" s="1" t="s">
        <v>628</v>
      </c>
      <c r="K154" s="2">
        <v>42186</v>
      </c>
      <c r="L154" s="3" t="str">
        <f>_xlfn.XLOOKUP(A:A,Gemini建議!A:A,Gemini建議!B:B,"")</f>
        <v/>
      </c>
      <c r="M154" s="1"/>
      <c r="N154" s="1"/>
    </row>
    <row r="155" spans="1:14" ht="30" hidden="1" customHeight="1">
      <c r="A155" s="2" t="str">
        <f>表格2[[#This Row],[站名]]&amp;表格2[[#This Row],[城市]]</f>
        <v>大城彰化縣</v>
      </c>
      <c r="B155" s="1" t="s">
        <v>629</v>
      </c>
      <c r="C155" s="1" t="s">
        <v>630</v>
      </c>
      <c r="D155" s="1">
        <v>23.852499999999999</v>
      </c>
      <c r="E155" s="1">
        <v>120.32089999999999</v>
      </c>
      <c r="F155" s="1" t="s">
        <v>354</v>
      </c>
      <c r="G155" s="1" t="s">
        <v>2543</v>
      </c>
      <c r="H155" s="1" t="s">
        <v>611</v>
      </c>
      <c r="I155" s="1" t="s">
        <v>631</v>
      </c>
      <c r="J155" s="1"/>
      <c r="K155" s="2">
        <v>42072</v>
      </c>
      <c r="L155" s="3" t="str">
        <f>_xlfn.XLOOKUP(A:A,Gemini建議!A:A,Gemini建議!B:B,"")</f>
        <v/>
      </c>
      <c r="M155" s="1"/>
      <c r="N155" s="1"/>
    </row>
    <row r="156" spans="1:14" ht="30" hidden="1" customHeight="1">
      <c r="A156" s="2" t="str">
        <f>表格2[[#This Row],[站名]]&amp;表格2[[#This Row],[城市]]</f>
        <v>福興彰化縣</v>
      </c>
      <c r="B156" s="1" t="s">
        <v>632</v>
      </c>
      <c r="C156" s="1" t="s">
        <v>633</v>
      </c>
      <c r="D156" s="1">
        <v>24.0413</v>
      </c>
      <c r="E156" s="1">
        <v>120.43770000000001</v>
      </c>
      <c r="F156" s="1" t="s">
        <v>220</v>
      </c>
      <c r="G156" s="1" t="s">
        <v>2543</v>
      </c>
      <c r="H156" s="1" t="s">
        <v>611</v>
      </c>
      <c r="I156" s="1" t="s">
        <v>634</v>
      </c>
      <c r="J156" s="1" t="s">
        <v>402</v>
      </c>
      <c r="K156" s="2">
        <v>40696</v>
      </c>
      <c r="L156" s="3" t="str">
        <f>_xlfn.XLOOKUP(A:A,Gemini建議!A:A,Gemini建議!B:B,"")</f>
        <v/>
      </c>
      <c r="M156" s="1"/>
      <c r="N156" s="1"/>
    </row>
    <row r="157" spans="1:14" ht="30" hidden="1" customHeight="1">
      <c r="A157" s="2" t="str">
        <f>表格2[[#This Row],[站名]]&amp;表格2[[#This Row],[城市]]</f>
        <v>秀水彰化縣</v>
      </c>
      <c r="B157" s="1" t="s">
        <v>635</v>
      </c>
      <c r="C157" s="1" t="s">
        <v>636</v>
      </c>
      <c r="D157" s="1">
        <v>24.034099999999999</v>
      </c>
      <c r="E157" s="1">
        <v>120.5039</v>
      </c>
      <c r="F157" s="1" t="s">
        <v>99</v>
      </c>
      <c r="G157" s="1" t="s">
        <v>2543</v>
      </c>
      <c r="H157" s="1" t="s">
        <v>611</v>
      </c>
      <c r="I157" s="1" t="s">
        <v>637</v>
      </c>
      <c r="J157" s="1"/>
      <c r="K157" s="2">
        <v>40756</v>
      </c>
      <c r="L157" s="3" t="str">
        <f>_xlfn.XLOOKUP(A:A,Gemini建議!A:A,Gemini建議!B:B,"")</f>
        <v/>
      </c>
      <c r="M157" s="1"/>
      <c r="N157" s="1"/>
    </row>
    <row r="158" spans="1:14" ht="30" hidden="1" customHeight="1">
      <c r="A158" s="2" t="str">
        <f>表格2[[#This Row],[站名]]&amp;表格2[[#This Row],[城市]]</f>
        <v>埔鹽彰化縣</v>
      </c>
      <c r="B158" s="1" t="s">
        <v>638</v>
      </c>
      <c r="C158" s="1" t="s">
        <v>639</v>
      </c>
      <c r="D158" s="1">
        <v>24.000399999999999</v>
      </c>
      <c r="E158" s="1">
        <v>120.43170000000001</v>
      </c>
      <c r="F158" s="1" t="s">
        <v>220</v>
      </c>
      <c r="G158" s="1" t="s">
        <v>2543</v>
      </c>
      <c r="H158" s="1" t="s">
        <v>611</v>
      </c>
      <c r="I158" s="1" t="s">
        <v>640</v>
      </c>
      <c r="J158" s="1"/>
      <c r="K158" s="2">
        <v>40645</v>
      </c>
      <c r="L158" s="3" t="str">
        <f>_xlfn.XLOOKUP(A:A,Gemini建議!A:A,Gemini建議!B:B,"")</f>
        <v/>
      </c>
      <c r="M158" s="1"/>
      <c r="N158" s="1"/>
    </row>
    <row r="159" spans="1:14" ht="30" hidden="1" customHeight="1">
      <c r="A159" s="2" t="str">
        <f>表格2[[#This Row],[站名]]&amp;表格2[[#This Row],[城市]]</f>
        <v>埔心彰化縣</v>
      </c>
      <c r="B159" s="1" t="s">
        <v>641</v>
      </c>
      <c r="C159" s="1" t="s">
        <v>642</v>
      </c>
      <c r="D159" s="1">
        <v>23.947600000000001</v>
      </c>
      <c r="E159" s="1">
        <v>120.52549999999999</v>
      </c>
      <c r="F159" s="1" t="s">
        <v>162</v>
      </c>
      <c r="G159" s="1" t="s">
        <v>2543</v>
      </c>
      <c r="H159" s="1" t="s">
        <v>611</v>
      </c>
      <c r="I159" s="1" t="s">
        <v>643</v>
      </c>
      <c r="J159" s="1"/>
      <c r="K159" s="2">
        <v>40660</v>
      </c>
      <c r="L159" s="3" t="str">
        <f>_xlfn.XLOOKUP(A:A,Gemini建議!A:A,Gemini建議!B:B,"")</f>
        <v/>
      </c>
      <c r="M159" s="1"/>
      <c r="N159" s="1"/>
    </row>
    <row r="160" spans="1:14" ht="30" hidden="1" customHeight="1">
      <c r="A160" s="2" t="str">
        <f>表格2[[#This Row],[站名]]&amp;表格2[[#This Row],[城市]]</f>
        <v>田尾彰化縣</v>
      </c>
      <c r="B160" s="1" t="s">
        <v>644</v>
      </c>
      <c r="C160" s="1" t="s">
        <v>645</v>
      </c>
      <c r="D160" s="1">
        <v>23.901700000000002</v>
      </c>
      <c r="E160" s="1">
        <v>120.5094</v>
      </c>
      <c r="F160" s="1" t="s">
        <v>646</v>
      </c>
      <c r="G160" s="1" t="s">
        <v>2543</v>
      </c>
      <c r="H160" s="1" t="s">
        <v>611</v>
      </c>
      <c r="I160" s="1" t="s">
        <v>647</v>
      </c>
      <c r="J160" s="1"/>
      <c r="K160" s="2">
        <v>40668</v>
      </c>
      <c r="L160" s="3" t="str">
        <f>_xlfn.XLOOKUP(A:A,Gemini建議!A:A,Gemini建議!B:B,"")</f>
        <v/>
      </c>
      <c r="M160" s="1"/>
      <c r="N160" s="1"/>
    </row>
    <row r="161" spans="1:14" ht="30" hidden="1" customHeight="1">
      <c r="A161" s="2" t="str">
        <f>表格2[[#This Row],[站名]]&amp;表格2[[#This Row],[城市]]</f>
        <v>埤頭彰化縣</v>
      </c>
      <c r="B161" s="1" t="s">
        <v>648</v>
      </c>
      <c r="C161" s="1" t="s">
        <v>649</v>
      </c>
      <c r="D161" s="1">
        <v>23.866</v>
      </c>
      <c r="E161" s="1">
        <v>120.4528</v>
      </c>
      <c r="F161" s="1" t="s">
        <v>99</v>
      </c>
      <c r="G161" s="1" t="s">
        <v>2543</v>
      </c>
      <c r="H161" s="1" t="s">
        <v>611</v>
      </c>
      <c r="I161" s="1" t="s">
        <v>650</v>
      </c>
      <c r="J161" s="1"/>
      <c r="K161" s="2">
        <v>40688</v>
      </c>
      <c r="L161" s="3" t="str">
        <f>_xlfn.XLOOKUP(A:A,Gemini建議!A:A,Gemini建議!B:B,"")</f>
        <v/>
      </c>
      <c r="M161" s="1"/>
      <c r="N161" s="1"/>
    </row>
    <row r="162" spans="1:14" ht="30" hidden="1" customHeight="1">
      <c r="A162" s="2" t="str">
        <f>表格2[[#This Row],[站名]]&amp;表格2[[#This Row],[城市]]</f>
        <v>社頭彰化縣</v>
      </c>
      <c r="B162" s="1" t="s">
        <v>651</v>
      </c>
      <c r="C162" s="1" t="s">
        <v>652</v>
      </c>
      <c r="D162" s="1">
        <v>23.897600000000001</v>
      </c>
      <c r="E162" s="1">
        <v>120.58620000000001</v>
      </c>
      <c r="F162" s="1" t="s">
        <v>653</v>
      </c>
      <c r="G162" s="1" t="s">
        <v>2543</v>
      </c>
      <c r="H162" s="1" t="s">
        <v>611</v>
      </c>
      <c r="I162" s="1" t="s">
        <v>654</v>
      </c>
      <c r="J162" s="1"/>
      <c r="K162" s="2">
        <v>40688</v>
      </c>
      <c r="L162" s="3" t="str">
        <f>_xlfn.XLOOKUP(A:A,Gemini建議!A:A,Gemini建議!B:B,"")</f>
        <v/>
      </c>
      <c r="M162" s="1"/>
      <c r="N162" s="1"/>
    </row>
    <row r="163" spans="1:14" ht="30" hidden="1" customHeight="1">
      <c r="A163" s="2" t="str">
        <f>表格2[[#This Row],[站名]]&amp;表格2[[#This Row],[城市]]</f>
        <v>二水彰化縣</v>
      </c>
      <c r="B163" s="1" t="s">
        <v>655</v>
      </c>
      <c r="C163" s="1" t="s">
        <v>656</v>
      </c>
      <c r="D163" s="1">
        <v>23.810700000000001</v>
      </c>
      <c r="E163" s="1">
        <v>120.6173</v>
      </c>
      <c r="F163" s="1" t="s">
        <v>657</v>
      </c>
      <c r="G163" s="1" t="s">
        <v>2543</v>
      </c>
      <c r="H163" s="1" t="s">
        <v>611</v>
      </c>
      <c r="I163" s="1" t="s">
        <v>658</v>
      </c>
      <c r="J163" s="1"/>
      <c r="K163" s="2">
        <v>40752</v>
      </c>
      <c r="L163" s="3" t="str">
        <f>_xlfn.XLOOKUP(A:A,Gemini建議!A:A,Gemini建議!B:B,"")</f>
        <v/>
      </c>
      <c r="M163" s="1"/>
      <c r="N163" s="1"/>
    </row>
    <row r="164" spans="1:14" ht="30" hidden="1" customHeight="1">
      <c r="A164" s="2" t="str">
        <f>表格2[[#This Row],[站名]]&amp;表格2[[#This Row],[城市]]</f>
        <v>伸港彰化縣</v>
      </c>
      <c r="B164" s="1" t="s">
        <v>659</v>
      </c>
      <c r="C164" s="1" t="s">
        <v>660</v>
      </c>
      <c r="D164" s="1">
        <v>24.148900000000001</v>
      </c>
      <c r="E164" s="1">
        <v>120.48439999999999</v>
      </c>
      <c r="F164" s="1" t="s">
        <v>354</v>
      </c>
      <c r="G164" s="1" t="s">
        <v>2543</v>
      </c>
      <c r="H164" s="1" t="s">
        <v>611</v>
      </c>
      <c r="I164" s="1" t="s">
        <v>661</v>
      </c>
      <c r="J164" s="1" t="s">
        <v>402</v>
      </c>
      <c r="K164" s="2">
        <v>40592</v>
      </c>
      <c r="L164" s="3" t="str">
        <f>_xlfn.XLOOKUP(A:A,Gemini建議!A:A,Gemini建議!B:B,"")</f>
        <v/>
      </c>
      <c r="M164" s="1"/>
      <c r="N164" s="1"/>
    </row>
    <row r="165" spans="1:14" ht="30" hidden="1" customHeight="1">
      <c r="A165" s="2" t="str">
        <f>表格2[[#This Row],[站名]]&amp;表格2[[#This Row],[城市]]</f>
        <v>線西彰化縣</v>
      </c>
      <c r="B165" s="1" t="s">
        <v>662</v>
      </c>
      <c r="C165" s="1" t="s">
        <v>663</v>
      </c>
      <c r="D165" s="1">
        <v>24.1434</v>
      </c>
      <c r="E165" s="1">
        <v>120.4435</v>
      </c>
      <c r="F165" s="1" t="s">
        <v>103</v>
      </c>
      <c r="G165" s="1" t="s">
        <v>2543</v>
      </c>
      <c r="H165" s="1" t="s">
        <v>611</v>
      </c>
      <c r="I165" s="1" t="s">
        <v>664</v>
      </c>
      <c r="J165" s="1" t="s">
        <v>402</v>
      </c>
      <c r="K165" s="2">
        <v>43791</v>
      </c>
      <c r="L165" s="3" t="str">
        <f>_xlfn.XLOOKUP(A:A,Gemini建議!A:A,Gemini建議!B:B,"")</f>
        <v/>
      </c>
      <c r="M165" s="1"/>
      <c r="N165" s="1"/>
    </row>
    <row r="166" spans="1:14" ht="30" hidden="1" customHeight="1">
      <c r="A166" s="2" t="str">
        <f>表格2[[#This Row],[站名]]&amp;表格2[[#This Row],[城市]]</f>
        <v>花壇彰化縣</v>
      </c>
      <c r="B166" s="1" t="s">
        <v>665</v>
      </c>
      <c r="C166" s="1" t="s">
        <v>666</v>
      </c>
      <c r="D166" s="1">
        <v>24.0321</v>
      </c>
      <c r="E166" s="1">
        <v>120.54949999999999</v>
      </c>
      <c r="F166" s="1" t="s">
        <v>667</v>
      </c>
      <c r="G166" s="1" t="s">
        <v>2543</v>
      </c>
      <c r="H166" s="1" t="s">
        <v>611</v>
      </c>
      <c r="I166" s="1" t="s">
        <v>668</v>
      </c>
      <c r="J166" s="1"/>
      <c r="K166" s="2">
        <v>43819</v>
      </c>
      <c r="L166" s="3" t="str">
        <f>_xlfn.XLOOKUP(A:A,Gemini建議!A:A,Gemini建議!B:B,"")</f>
        <v/>
      </c>
      <c r="M166" s="1"/>
      <c r="N166" s="1"/>
    </row>
    <row r="167" spans="1:14" ht="30" hidden="1" customHeight="1">
      <c r="A167" s="2" t="str">
        <f>表格2[[#This Row],[站名]]&amp;表格2[[#This Row],[城市]]</f>
        <v>永靖彰化縣</v>
      </c>
      <c r="B167" s="1" t="s">
        <v>669</v>
      </c>
      <c r="C167" s="1" t="s">
        <v>670</v>
      </c>
      <c r="D167" s="1">
        <v>23.924700000000001</v>
      </c>
      <c r="E167" s="1">
        <v>120.5475</v>
      </c>
      <c r="F167" s="1" t="s">
        <v>667</v>
      </c>
      <c r="G167" s="1" t="s">
        <v>2543</v>
      </c>
      <c r="H167" s="1" t="s">
        <v>611</v>
      </c>
      <c r="I167" s="1" t="s">
        <v>671</v>
      </c>
      <c r="J167" s="1"/>
      <c r="K167" s="2">
        <v>44565</v>
      </c>
      <c r="L167" s="3" t="str">
        <f>_xlfn.XLOOKUP(A:A,Gemini建議!A:A,Gemini建議!B:B,"")</f>
        <v/>
      </c>
      <c r="M167" s="1"/>
      <c r="N167" s="1"/>
    </row>
    <row r="168" spans="1:14" ht="30" hidden="1" customHeight="1">
      <c r="A168" s="2" t="str">
        <f>表格2[[#This Row],[站名]]&amp;表格2[[#This Row],[城市]]</f>
        <v>竹塘彰化縣</v>
      </c>
      <c r="B168" s="1" t="s">
        <v>672</v>
      </c>
      <c r="C168" s="1" t="s">
        <v>673</v>
      </c>
      <c r="D168" s="1">
        <v>23.848299999999998</v>
      </c>
      <c r="E168" s="1">
        <v>120.38679999999999</v>
      </c>
      <c r="F168" s="1" t="s">
        <v>190</v>
      </c>
      <c r="G168" s="1" t="s">
        <v>2543</v>
      </c>
      <c r="H168" s="1" t="s">
        <v>611</v>
      </c>
      <c r="I168" s="1" t="s">
        <v>674</v>
      </c>
      <c r="J168" s="1"/>
      <c r="K168" s="2">
        <v>44583</v>
      </c>
      <c r="L168" s="3" t="str">
        <f>_xlfn.XLOOKUP(A:A,Gemini建議!A:A,Gemini建議!B:B,"")</f>
        <v/>
      </c>
      <c r="M168" s="1"/>
      <c r="N168" s="1"/>
    </row>
    <row r="169" spans="1:14" ht="30" hidden="1" customHeight="1">
      <c r="A169" s="2" t="str">
        <f>表格2[[#This Row],[站名]]&amp;表格2[[#This Row],[城市]]</f>
        <v>防潮門彰化縣</v>
      </c>
      <c r="B169" s="1" t="s">
        <v>675</v>
      </c>
      <c r="C169" s="1" t="s">
        <v>676</v>
      </c>
      <c r="D169" s="1">
        <v>24.183499999999999</v>
      </c>
      <c r="E169" s="1">
        <v>120.4871</v>
      </c>
      <c r="F169" s="1" t="s">
        <v>198</v>
      </c>
      <c r="G169" s="1" t="s">
        <v>2543</v>
      </c>
      <c r="H169" s="1" t="s">
        <v>611</v>
      </c>
      <c r="I169" s="1" t="s">
        <v>677</v>
      </c>
      <c r="J169" s="1"/>
      <c r="K169" s="2">
        <v>44921</v>
      </c>
      <c r="L169" s="3" t="str">
        <f>_xlfn.XLOOKUP(A:A,Gemini建議!A:A,Gemini建議!B:B,"")</f>
        <v/>
      </c>
      <c r="M169" s="1"/>
      <c r="N169" s="1"/>
    </row>
    <row r="170" spans="1:14" ht="30" hidden="1" customHeight="1">
      <c r="A170" s="2" t="str">
        <f>表格2[[#This Row],[站名]]&amp;表格2[[#This Row],[城市]]</f>
        <v>福寶彰化縣</v>
      </c>
      <c r="B170" s="1" t="s">
        <v>678</v>
      </c>
      <c r="C170" s="1" t="s">
        <v>679</v>
      </c>
      <c r="D170" s="1">
        <v>24.0443</v>
      </c>
      <c r="E170" s="1">
        <v>120.3814</v>
      </c>
      <c r="F170" s="1" t="s">
        <v>224</v>
      </c>
      <c r="G170" s="1" t="s">
        <v>2543</v>
      </c>
      <c r="H170" s="1" t="s">
        <v>611</v>
      </c>
      <c r="I170" s="1" t="s">
        <v>680</v>
      </c>
      <c r="J170" s="1"/>
      <c r="K170" s="2">
        <v>44921</v>
      </c>
      <c r="L170" s="3" t="str">
        <f>_xlfn.XLOOKUP(A:A,Gemini建議!A:A,Gemini建議!B:B,"")</f>
        <v/>
      </c>
      <c r="M170" s="1"/>
      <c r="N170" s="1"/>
    </row>
    <row r="171" spans="1:14" ht="30" hidden="1" customHeight="1">
      <c r="A171" s="2" t="str">
        <f>表格2[[#This Row],[站名]]&amp;表格2[[#This Row],[城市]]</f>
        <v>三豐彰化縣</v>
      </c>
      <c r="B171" s="1" t="s">
        <v>681</v>
      </c>
      <c r="C171" s="1" t="s">
        <v>682</v>
      </c>
      <c r="D171" s="1">
        <v>23.882000000000001</v>
      </c>
      <c r="E171" s="1">
        <v>120.2895</v>
      </c>
      <c r="F171" s="1" t="s">
        <v>252</v>
      </c>
      <c r="G171" s="1" t="s">
        <v>2543</v>
      </c>
      <c r="H171" s="1" t="s">
        <v>611</v>
      </c>
      <c r="I171" s="1" t="s">
        <v>683</v>
      </c>
      <c r="J171" s="1"/>
      <c r="K171" s="2">
        <v>44921</v>
      </c>
      <c r="L171" s="3" t="str">
        <f>_xlfn.XLOOKUP(A:A,Gemini建議!A:A,Gemini建議!B:B,"")</f>
        <v/>
      </c>
      <c r="M171" s="1"/>
      <c r="N171" s="1"/>
    </row>
    <row r="172" spans="1:14" ht="30" hidden="1" customHeight="1">
      <c r="A172" s="2" t="str">
        <f>表格2[[#This Row],[站名]]&amp;表格2[[#This Row],[城市]]</f>
        <v>和美彰化縣</v>
      </c>
      <c r="B172" s="1" t="s">
        <v>684</v>
      </c>
      <c r="C172" s="1" t="s">
        <v>685</v>
      </c>
      <c r="D172" s="1">
        <v>24.1052</v>
      </c>
      <c r="E172" s="1">
        <v>120.49209999999999</v>
      </c>
      <c r="F172" s="1" t="s">
        <v>162</v>
      </c>
      <c r="G172" s="1" t="s">
        <v>2543</v>
      </c>
      <c r="H172" s="1" t="s">
        <v>611</v>
      </c>
      <c r="I172" s="1" t="s">
        <v>686</v>
      </c>
      <c r="J172" s="1"/>
      <c r="K172" s="2">
        <v>45693</v>
      </c>
      <c r="L172" s="3" t="str">
        <f>_xlfn.XLOOKUP(A:A,Gemini建議!A:A,Gemini建議!B:B,"")</f>
        <v/>
      </c>
      <c r="M172" s="1"/>
      <c r="N172" s="1"/>
    </row>
    <row r="173" spans="1:14" ht="30" customHeight="1">
      <c r="A173" s="2" t="str">
        <f>表格2[[#This Row],[站名]]&amp;表格2[[#This Row],[城市]]</f>
        <v>埔里南投縣</v>
      </c>
      <c r="B173" s="1" t="s">
        <v>687</v>
      </c>
      <c r="C173" s="1" t="s">
        <v>688</v>
      </c>
      <c r="D173" s="1">
        <v>23.972200000000001</v>
      </c>
      <c r="E173" s="1">
        <v>120.9524</v>
      </c>
      <c r="F173" s="1" t="s">
        <v>689</v>
      </c>
      <c r="G173" s="1" t="s">
        <v>2544</v>
      </c>
      <c r="H173" s="1" t="s">
        <v>690</v>
      </c>
      <c r="I173" s="1" t="s">
        <v>691</v>
      </c>
      <c r="J173" s="1" t="s">
        <v>692</v>
      </c>
      <c r="K173" s="2">
        <v>42251</v>
      </c>
      <c r="L173" s="3" t="str">
        <f>_xlfn.XLOOKUP(A:A,Gemini建議!A:A,Gemini建議!B:B,"")</f>
        <v>低海拔代表站</v>
      </c>
      <c r="M173" s="1"/>
      <c r="N173" s="1"/>
    </row>
    <row r="174" spans="1:14" ht="30" hidden="1" customHeight="1">
      <c r="A174" s="2" t="str">
        <f>表格2[[#This Row],[站名]]&amp;表格2[[#This Row],[城市]]</f>
        <v>草屯南投縣</v>
      </c>
      <c r="B174" s="1" t="s">
        <v>693</v>
      </c>
      <c r="C174" s="1" t="s">
        <v>694</v>
      </c>
      <c r="D174" s="1">
        <v>23.973700000000001</v>
      </c>
      <c r="E174" s="1">
        <v>120.68089999999999</v>
      </c>
      <c r="F174" s="1" t="s">
        <v>334</v>
      </c>
      <c r="G174" s="1" t="s">
        <v>2544</v>
      </c>
      <c r="H174" s="1" t="s">
        <v>690</v>
      </c>
      <c r="I174" s="1" t="s">
        <v>695</v>
      </c>
      <c r="J174" s="1" t="s">
        <v>696</v>
      </c>
      <c r="K174" s="2">
        <v>40848</v>
      </c>
      <c r="L174" s="3" t="str">
        <f>_xlfn.XLOOKUP(A:A,Gemini建議!A:A,Gemini建議!B:B,"")</f>
        <v/>
      </c>
      <c r="M174" s="1"/>
      <c r="N174" s="1"/>
    </row>
    <row r="175" spans="1:14" ht="30" hidden="1" customHeight="1">
      <c r="A175" s="2" t="str">
        <f>表格2[[#This Row],[站名]]&amp;表格2[[#This Row],[城市]]</f>
        <v>昆陽南投縣</v>
      </c>
      <c r="B175" s="1" t="s">
        <v>697</v>
      </c>
      <c r="C175" s="1" t="s">
        <v>698</v>
      </c>
      <c r="D175" s="1">
        <v>24.121300000000002</v>
      </c>
      <c r="E175" s="1">
        <v>121.2736</v>
      </c>
      <c r="F175" s="1" t="s">
        <v>699</v>
      </c>
      <c r="G175" s="1" t="s">
        <v>2544</v>
      </c>
      <c r="H175" s="1" t="s">
        <v>690</v>
      </c>
      <c r="I175" s="1" t="s">
        <v>700</v>
      </c>
      <c r="J175" s="1" t="s">
        <v>701</v>
      </c>
      <c r="K175" s="2">
        <v>33747</v>
      </c>
      <c r="L175" s="3" t="str">
        <f>_xlfn.XLOOKUP(A:A,Gemini建議!A:A,Gemini建議!B:B,"")</f>
        <v/>
      </c>
      <c r="M175" s="1"/>
      <c r="N175" s="1"/>
    </row>
    <row r="176" spans="1:14" ht="30" customHeight="1">
      <c r="A176" s="2" t="str">
        <f>表格2[[#This Row],[站名]]&amp;表格2[[#This Row],[城市]]</f>
        <v>神木村南投縣</v>
      </c>
      <c r="B176" s="1" t="s">
        <v>702</v>
      </c>
      <c r="C176" s="1" t="s">
        <v>703</v>
      </c>
      <c r="D176" s="1">
        <v>23.532699999999998</v>
      </c>
      <c r="E176" s="1">
        <v>120.8437</v>
      </c>
      <c r="F176" s="1" t="s">
        <v>704</v>
      </c>
      <c r="G176" s="1" t="s">
        <v>2544</v>
      </c>
      <c r="H176" s="1" t="s">
        <v>690</v>
      </c>
      <c r="I176" s="1" t="s">
        <v>705</v>
      </c>
      <c r="J176" s="1" t="s">
        <v>706</v>
      </c>
      <c r="K176" s="2">
        <v>36145</v>
      </c>
      <c r="L176" s="3" t="str">
        <f>_xlfn.XLOOKUP(A:A,Gemini建議!A:A,Gemini建議!B:B,"")</f>
        <v>高海拔測站 (全)</v>
      </c>
      <c r="M176" s="1"/>
      <c r="N176" s="1"/>
    </row>
    <row r="177" spans="1:14" ht="30" hidden="1" customHeight="1">
      <c r="A177" s="2" t="str">
        <f>表格2[[#This Row],[站名]]&amp;表格2[[#This Row],[城市]]</f>
        <v>合歡山南投縣</v>
      </c>
      <c r="B177" s="1" t="s">
        <v>707</v>
      </c>
      <c r="C177" s="1" t="s">
        <v>708</v>
      </c>
      <c r="D177" s="1">
        <v>24.1434</v>
      </c>
      <c r="E177" s="1">
        <v>121.27249999999999</v>
      </c>
      <c r="F177" s="1" t="s">
        <v>709</v>
      </c>
      <c r="G177" s="1" t="s">
        <v>2544</v>
      </c>
      <c r="H177" s="1" t="s">
        <v>690</v>
      </c>
      <c r="I177" s="1" t="s">
        <v>710</v>
      </c>
      <c r="J177" s="1" t="s">
        <v>711</v>
      </c>
      <c r="K177" s="2">
        <v>39503</v>
      </c>
      <c r="L177" s="3" t="str">
        <f>_xlfn.XLOOKUP(A:A,Gemini建議!A:A,Gemini建議!B:B,"")</f>
        <v/>
      </c>
      <c r="M177" s="1"/>
      <c r="N177" s="1"/>
    </row>
    <row r="178" spans="1:14" ht="30" customHeight="1">
      <c r="A178" s="2" t="str">
        <f>表格2[[#This Row],[站名]]&amp;表格2[[#This Row],[城市]]</f>
        <v>廬山南投縣</v>
      </c>
      <c r="B178" s="1" t="s">
        <v>712</v>
      </c>
      <c r="C178" s="1" t="s">
        <v>713</v>
      </c>
      <c r="D178" s="1">
        <v>24.033300000000001</v>
      </c>
      <c r="E178" s="1">
        <v>121.1818</v>
      </c>
      <c r="F178" s="1" t="s">
        <v>714</v>
      </c>
      <c r="G178" s="1" t="s">
        <v>2544</v>
      </c>
      <c r="H178" s="1" t="s">
        <v>690</v>
      </c>
      <c r="I178" s="1" t="s">
        <v>715</v>
      </c>
      <c r="J178" s="1" t="s">
        <v>716</v>
      </c>
      <c r="K178" s="2">
        <v>33736</v>
      </c>
      <c r="L178" s="3" t="str">
        <f>_xlfn.XLOOKUP(A:A,Gemini建議!A:A,Gemini建議!B:B,"")</f>
        <v>高海拔測站 (全)</v>
      </c>
      <c r="M178" s="1"/>
      <c r="N178" s="1"/>
    </row>
    <row r="179" spans="1:14" ht="30" customHeight="1">
      <c r="A179" s="2" t="str">
        <f>表格2[[#This Row],[站名]]&amp;表格2[[#This Row],[城市]]</f>
        <v>信義南投縣</v>
      </c>
      <c r="B179" s="1" t="s">
        <v>84</v>
      </c>
      <c r="C179" s="1" t="s">
        <v>717</v>
      </c>
      <c r="D179" s="1">
        <v>23.689699999999998</v>
      </c>
      <c r="E179" s="1">
        <v>120.851</v>
      </c>
      <c r="F179" s="1" t="s">
        <v>718</v>
      </c>
      <c r="G179" s="1" t="s">
        <v>2544</v>
      </c>
      <c r="H179" s="1" t="s">
        <v>690</v>
      </c>
      <c r="I179" s="1" t="s">
        <v>719</v>
      </c>
      <c r="J179" s="1" t="s">
        <v>720</v>
      </c>
      <c r="K179" s="2">
        <v>42269</v>
      </c>
      <c r="L179" s="3" t="str">
        <f>_xlfn.XLOOKUP(A:A,Gemini建議!A:A,Gemini建議!B:B,"")</f>
        <v>高海拔測站 (全)</v>
      </c>
      <c r="M179" s="1"/>
      <c r="N179" s="1"/>
    </row>
    <row r="180" spans="1:14" ht="30" hidden="1" customHeight="1">
      <c r="A180" s="2" t="str">
        <f>表格2[[#This Row],[站名]]&amp;表格2[[#This Row],[城市]]</f>
        <v>竹山南投縣</v>
      </c>
      <c r="B180" s="1" t="s">
        <v>721</v>
      </c>
      <c r="C180" s="1" t="s">
        <v>722</v>
      </c>
      <c r="D180" s="1">
        <v>23.761199999999999</v>
      </c>
      <c r="E180" s="1">
        <v>120.68819999999999</v>
      </c>
      <c r="F180" s="1" t="s">
        <v>723</v>
      </c>
      <c r="G180" s="1" t="s">
        <v>2544</v>
      </c>
      <c r="H180" s="1" t="s">
        <v>690</v>
      </c>
      <c r="I180" s="1" t="s">
        <v>724</v>
      </c>
      <c r="J180" s="1"/>
      <c r="K180" s="2">
        <v>33729</v>
      </c>
      <c r="L180" s="3" t="str">
        <f>_xlfn.XLOOKUP(A:A,Gemini建議!A:A,Gemini建議!B:B,"")</f>
        <v/>
      </c>
      <c r="M180" s="1"/>
      <c r="N180" s="1"/>
    </row>
    <row r="181" spans="1:14" ht="30" hidden="1" customHeight="1">
      <c r="A181" s="2" t="str">
        <f>表格2[[#This Row],[站名]]&amp;表格2[[#This Row],[城市]]</f>
        <v>水里南投縣</v>
      </c>
      <c r="B181" s="1" t="s">
        <v>725</v>
      </c>
      <c r="C181" s="1" t="s">
        <v>726</v>
      </c>
      <c r="D181" s="1">
        <v>23.8126</v>
      </c>
      <c r="E181" s="1">
        <v>120.8498</v>
      </c>
      <c r="F181" s="1" t="s">
        <v>16</v>
      </c>
      <c r="G181" s="1" t="s">
        <v>2544</v>
      </c>
      <c r="H181" s="1" t="s">
        <v>690</v>
      </c>
      <c r="I181" s="1" t="s">
        <v>727</v>
      </c>
      <c r="J181" s="1"/>
      <c r="K181" s="2">
        <v>42270</v>
      </c>
      <c r="L181" s="3" t="str">
        <f>_xlfn.XLOOKUP(A:A,Gemini建議!A:A,Gemini建議!B:B,"")</f>
        <v/>
      </c>
      <c r="M181" s="1"/>
      <c r="N181" s="1"/>
    </row>
    <row r="182" spans="1:14" ht="30" customHeight="1">
      <c r="A182" s="2" t="str">
        <f>表格2[[#This Row],[站名]]&amp;表格2[[#This Row],[城市]]</f>
        <v>魚池南投縣</v>
      </c>
      <c r="B182" s="1" t="s">
        <v>728</v>
      </c>
      <c r="C182" s="1" t="s">
        <v>729</v>
      </c>
      <c r="D182" s="1">
        <v>23.895700000000001</v>
      </c>
      <c r="E182" s="1">
        <v>120.9413</v>
      </c>
      <c r="F182" s="1" t="s">
        <v>730</v>
      </c>
      <c r="G182" s="1" t="s">
        <v>2544</v>
      </c>
      <c r="H182" s="1" t="s">
        <v>690</v>
      </c>
      <c r="I182" s="1" t="s">
        <v>731</v>
      </c>
      <c r="J182" s="1"/>
      <c r="K182" s="2">
        <v>42254</v>
      </c>
      <c r="L182" s="3" t="str">
        <f>_xlfn.XLOOKUP(A:A,Gemini建議!A:A,Gemini建議!B:B,"")</f>
        <v>高海拔測站 (全)</v>
      </c>
      <c r="M182" s="1"/>
      <c r="N182" s="1"/>
    </row>
    <row r="183" spans="1:14" ht="30" hidden="1" customHeight="1">
      <c r="A183" s="2" t="str">
        <f>表格2[[#This Row],[站名]]&amp;表格2[[#This Row],[城市]]</f>
        <v>集集南投縣</v>
      </c>
      <c r="B183" s="1" t="s">
        <v>732</v>
      </c>
      <c r="C183" s="1" t="s">
        <v>733</v>
      </c>
      <c r="D183" s="1">
        <v>23.828199999999999</v>
      </c>
      <c r="E183" s="1">
        <v>120.8015</v>
      </c>
      <c r="F183" s="1" t="s">
        <v>378</v>
      </c>
      <c r="G183" s="1" t="s">
        <v>2544</v>
      </c>
      <c r="H183" s="1" t="s">
        <v>690</v>
      </c>
      <c r="I183" s="1" t="s">
        <v>734</v>
      </c>
      <c r="J183" s="1"/>
      <c r="K183" s="2">
        <v>42271</v>
      </c>
      <c r="L183" s="3" t="str">
        <f>_xlfn.XLOOKUP(A:A,Gemini建議!A:A,Gemini建議!B:B,"")</f>
        <v/>
      </c>
      <c r="M183" s="1"/>
      <c r="N183" s="1"/>
    </row>
    <row r="184" spans="1:14" ht="30" customHeight="1">
      <c r="A184" s="2" t="str">
        <f>表格2[[#This Row],[站名]]&amp;表格2[[#This Row],[城市]]</f>
        <v>仁愛南投縣</v>
      </c>
      <c r="B184" s="1" t="s">
        <v>735</v>
      </c>
      <c r="C184" s="1" t="s">
        <v>736</v>
      </c>
      <c r="D184" s="1">
        <v>24.022099999999998</v>
      </c>
      <c r="E184" s="1">
        <v>121.1322</v>
      </c>
      <c r="F184" s="1" t="s">
        <v>737</v>
      </c>
      <c r="G184" s="1" t="s">
        <v>2544</v>
      </c>
      <c r="H184" s="1" t="s">
        <v>690</v>
      </c>
      <c r="I184" s="1" t="s">
        <v>738</v>
      </c>
      <c r="J184" s="1"/>
      <c r="K184" s="2">
        <v>42226</v>
      </c>
      <c r="L184" s="3" t="str">
        <f>_xlfn.XLOOKUP(A:A,Gemini建議!A:A,Gemini建議!B:B,"")</f>
        <v>高海拔測站 (全)</v>
      </c>
      <c r="M184" s="1"/>
      <c r="N184" s="1"/>
    </row>
    <row r="185" spans="1:14" ht="30" hidden="1" customHeight="1">
      <c r="A185" s="2" t="str">
        <f>表格2[[#This Row],[站名]]&amp;表格2[[#This Row],[城市]]</f>
        <v>名間南投縣</v>
      </c>
      <c r="B185" s="1" t="s">
        <v>739</v>
      </c>
      <c r="C185" s="1" t="s">
        <v>740</v>
      </c>
      <c r="D185" s="1">
        <v>23.8371</v>
      </c>
      <c r="E185" s="1">
        <v>120.70140000000001</v>
      </c>
      <c r="F185" s="1" t="s">
        <v>741</v>
      </c>
      <c r="G185" s="1" t="s">
        <v>2544</v>
      </c>
      <c r="H185" s="1" t="s">
        <v>690</v>
      </c>
      <c r="I185" s="1" t="s">
        <v>742</v>
      </c>
      <c r="J185" s="1"/>
      <c r="K185" s="2">
        <v>42277</v>
      </c>
      <c r="L185" s="3" t="str">
        <f>_xlfn.XLOOKUP(A:A,Gemini建議!A:A,Gemini建議!B:B,"")</f>
        <v/>
      </c>
      <c r="M185" s="1"/>
      <c r="N185" s="1"/>
    </row>
    <row r="186" spans="1:14" ht="30" hidden="1" customHeight="1">
      <c r="A186" s="2" t="str">
        <f>表格2[[#This Row],[站名]]&amp;表格2[[#This Row],[城市]]</f>
        <v>國姓南投縣</v>
      </c>
      <c r="B186" s="1" t="s">
        <v>743</v>
      </c>
      <c r="C186" s="1" t="s">
        <v>744</v>
      </c>
      <c r="D186" s="1">
        <v>24.037800000000001</v>
      </c>
      <c r="E186" s="1">
        <v>120.85509999999999</v>
      </c>
      <c r="F186" s="1" t="s">
        <v>745</v>
      </c>
      <c r="G186" s="1" t="s">
        <v>2544</v>
      </c>
      <c r="H186" s="1" t="s">
        <v>690</v>
      </c>
      <c r="I186" s="1" t="s">
        <v>746</v>
      </c>
      <c r="J186" s="1"/>
      <c r="K186" s="2">
        <v>42249</v>
      </c>
      <c r="L186" s="3" t="str">
        <f>_xlfn.XLOOKUP(A:A,Gemini建議!A:A,Gemini建議!B:B,"")</f>
        <v/>
      </c>
      <c r="M186" s="1"/>
      <c r="N186" s="1"/>
    </row>
    <row r="187" spans="1:14" ht="30" hidden="1" customHeight="1">
      <c r="A187" s="2" t="str">
        <f>表格2[[#This Row],[站名]]&amp;表格2[[#This Row],[城市]]</f>
        <v>南投南投縣</v>
      </c>
      <c r="B187" s="1" t="s">
        <v>747</v>
      </c>
      <c r="C187" s="1" t="s">
        <v>748</v>
      </c>
      <c r="D187" s="1">
        <v>23.9115</v>
      </c>
      <c r="E187" s="1">
        <v>120.68729999999999</v>
      </c>
      <c r="F187" s="1" t="s">
        <v>610</v>
      </c>
      <c r="G187" s="1" t="s">
        <v>2544</v>
      </c>
      <c r="H187" s="1" t="s">
        <v>690</v>
      </c>
      <c r="I187" s="1" t="s">
        <v>749</v>
      </c>
      <c r="J187" s="1"/>
      <c r="K187" s="2">
        <v>42250</v>
      </c>
      <c r="L187" s="3" t="str">
        <f>_xlfn.XLOOKUP(A:A,Gemini建議!A:A,Gemini建議!B:B,"")</f>
        <v/>
      </c>
      <c r="M187" s="1"/>
      <c r="N187" s="1"/>
    </row>
    <row r="188" spans="1:14" ht="30" customHeight="1">
      <c r="A188" s="2" t="str">
        <f>表格2[[#This Row],[站名]]&amp;表格2[[#This Row],[城市]]</f>
        <v>梅峰南投縣</v>
      </c>
      <c r="B188" s="1" t="s">
        <v>750</v>
      </c>
      <c r="C188" s="1" t="s">
        <v>751</v>
      </c>
      <c r="D188" s="1">
        <v>24.0853</v>
      </c>
      <c r="E188" s="1">
        <v>121.17359999999999</v>
      </c>
      <c r="F188" s="1" t="s">
        <v>752</v>
      </c>
      <c r="G188" s="1" t="s">
        <v>2544</v>
      </c>
      <c r="H188" s="1" t="s">
        <v>690</v>
      </c>
      <c r="I188" s="1" t="s">
        <v>753</v>
      </c>
      <c r="J188" s="1"/>
      <c r="K188" s="2">
        <v>42283</v>
      </c>
      <c r="L188" s="3" t="str">
        <f>_xlfn.XLOOKUP(A:A,Gemini建議!A:A,Gemini建議!B:B,"")</f>
        <v>高海拔測站 (全)</v>
      </c>
      <c r="M188" s="1"/>
      <c r="N188" s="1"/>
    </row>
    <row r="189" spans="1:14" ht="30" customHeight="1">
      <c r="A189" s="2" t="str">
        <f>表格2[[#This Row],[站名]]&amp;表格2[[#This Row],[城市]]</f>
        <v>萬大林道南投縣</v>
      </c>
      <c r="B189" s="1" t="s">
        <v>754</v>
      </c>
      <c r="C189" s="1" t="s">
        <v>755</v>
      </c>
      <c r="D189" s="1">
        <v>23.9282</v>
      </c>
      <c r="E189" s="1">
        <v>121.09139999999999</v>
      </c>
      <c r="F189" s="1" t="s">
        <v>756</v>
      </c>
      <c r="G189" s="1" t="s">
        <v>2544</v>
      </c>
      <c r="H189" s="1" t="s">
        <v>690</v>
      </c>
      <c r="I189" s="1" t="s">
        <v>757</v>
      </c>
      <c r="J189" s="1"/>
      <c r="K189" s="2">
        <v>42284</v>
      </c>
      <c r="L189" s="3" t="str">
        <f>_xlfn.XLOOKUP(A:A,Gemini建議!A:A,Gemini建議!B:B,"")</f>
        <v>高海拔測站 (全)</v>
      </c>
      <c r="M189" s="1"/>
      <c r="N189" s="1"/>
    </row>
    <row r="190" spans="1:14" ht="30" hidden="1" customHeight="1">
      <c r="A190" s="2" t="str">
        <f>表格2[[#This Row],[站名]]&amp;表格2[[#This Row],[城市]]</f>
        <v>玉山風口南投縣</v>
      </c>
      <c r="B190" s="1" t="s">
        <v>758</v>
      </c>
      <c r="C190" s="1" t="s">
        <v>759</v>
      </c>
      <c r="D190" s="1">
        <v>23.470500000000001</v>
      </c>
      <c r="E190" s="1">
        <v>120.956</v>
      </c>
      <c r="F190" s="1" t="s">
        <v>760</v>
      </c>
      <c r="G190" s="1" t="s">
        <v>2544</v>
      </c>
      <c r="H190" s="1" t="s">
        <v>690</v>
      </c>
      <c r="I190" s="1" t="s">
        <v>761</v>
      </c>
      <c r="J190" s="1"/>
      <c r="K190" s="2">
        <v>42512</v>
      </c>
      <c r="L190" s="3" t="str">
        <f>_xlfn.XLOOKUP(A:A,Gemini建議!A:A,Gemini建議!B:B,"")</f>
        <v/>
      </c>
      <c r="M190" s="1"/>
      <c r="N190" s="1"/>
    </row>
    <row r="191" spans="1:14" ht="30" hidden="1" customHeight="1">
      <c r="A191" s="2" t="str">
        <f>表格2[[#This Row],[站名]]&amp;表格2[[#This Row],[城市]]</f>
        <v>小奇萊南投縣</v>
      </c>
      <c r="B191" s="1" t="s">
        <v>762</v>
      </c>
      <c r="C191" s="1" t="s">
        <v>763</v>
      </c>
      <c r="D191" s="1">
        <v>24.131799999999998</v>
      </c>
      <c r="E191" s="1">
        <v>121.2957</v>
      </c>
      <c r="F191" s="1" t="s">
        <v>764</v>
      </c>
      <c r="G191" s="1" t="s">
        <v>2544</v>
      </c>
      <c r="H191" s="1" t="s">
        <v>690</v>
      </c>
      <c r="I191" s="1" t="s">
        <v>765</v>
      </c>
      <c r="J191" s="1"/>
      <c r="K191" s="2">
        <v>43097</v>
      </c>
      <c r="L191" s="3" t="str">
        <f>_xlfn.XLOOKUP(A:A,Gemini建議!A:A,Gemini建議!B:B,"")</f>
        <v/>
      </c>
      <c r="M191" s="1"/>
      <c r="N191" s="1"/>
    </row>
    <row r="192" spans="1:14" ht="30" hidden="1" customHeight="1">
      <c r="A192" s="2" t="str">
        <f>表格2[[#This Row],[站名]]&amp;表格2[[#This Row],[城市]]</f>
        <v>奇萊稜線南投縣</v>
      </c>
      <c r="B192" s="1" t="s">
        <v>766</v>
      </c>
      <c r="C192" s="1" t="s">
        <v>767</v>
      </c>
      <c r="D192" s="1">
        <v>24.109200000000001</v>
      </c>
      <c r="E192" s="1">
        <v>121.3265</v>
      </c>
      <c r="F192" s="1" t="s">
        <v>768</v>
      </c>
      <c r="G192" s="1" t="s">
        <v>2544</v>
      </c>
      <c r="H192" s="1" t="s">
        <v>690</v>
      </c>
      <c r="I192" s="1" t="s">
        <v>769</v>
      </c>
      <c r="J192" s="1"/>
      <c r="K192" s="2">
        <v>43097</v>
      </c>
      <c r="L192" s="3" t="str">
        <f>_xlfn.XLOOKUP(A:A,Gemini建議!A:A,Gemini建議!B:B,"")</f>
        <v/>
      </c>
      <c r="M192" s="1"/>
      <c r="N192" s="1"/>
    </row>
    <row r="193" spans="1:14" ht="30" hidden="1" customHeight="1">
      <c r="A193" s="2" t="str">
        <f>表格2[[#This Row],[站名]]&amp;表格2[[#This Row],[城市]]</f>
        <v>宜梧雲林縣</v>
      </c>
      <c r="B193" s="1" t="s">
        <v>770</v>
      </c>
      <c r="C193" s="1" t="s">
        <v>771</v>
      </c>
      <c r="D193" s="1">
        <v>23.536300000000001</v>
      </c>
      <c r="E193" s="1">
        <v>120.16930000000001</v>
      </c>
      <c r="F193" s="1" t="s">
        <v>772</v>
      </c>
      <c r="G193" s="1" t="s">
        <v>2545</v>
      </c>
      <c r="H193" s="1" t="s">
        <v>773</v>
      </c>
      <c r="I193" s="1" t="s">
        <v>774</v>
      </c>
      <c r="J193" s="1" t="s">
        <v>775</v>
      </c>
      <c r="K193" s="2">
        <v>40448</v>
      </c>
      <c r="L193" s="3" t="str">
        <f>_xlfn.XLOOKUP(A:A,Gemini建議!A:A,Gemini建議!B:B,"")</f>
        <v/>
      </c>
      <c r="M193" s="1"/>
      <c r="N193" s="1"/>
    </row>
    <row r="194" spans="1:14" ht="30" customHeight="1">
      <c r="A194" s="2" t="str">
        <f>表格2[[#This Row],[站名]]&amp;表格2[[#This Row],[城市]]</f>
        <v>虎尾雲林縣</v>
      </c>
      <c r="B194" s="1" t="s">
        <v>776</v>
      </c>
      <c r="C194" s="1" t="s">
        <v>777</v>
      </c>
      <c r="D194" s="1">
        <v>23.719200000000001</v>
      </c>
      <c r="E194" s="1">
        <v>120.44199999999999</v>
      </c>
      <c r="F194" s="1" t="s">
        <v>118</v>
      </c>
      <c r="G194" s="1" t="s">
        <v>2545</v>
      </c>
      <c r="H194" s="1" t="s">
        <v>773</v>
      </c>
      <c r="I194" s="1" t="s">
        <v>778</v>
      </c>
      <c r="J194" s="1" t="s">
        <v>779</v>
      </c>
      <c r="K194" s="2">
        <v>33950</v>
      </c>
      <c r="L194" s="3" t="str">
        <f>_xlfn.XLOOKUP(A:A,Gemini建議!A:A,Gemini建議!B:B,"")</f>
        <v>低海拔代表站</v>
      </c>
      <c r="M194" s="1"/>
      <c r="N194" s="1"/>
    </row>
    <row r="195" spans="1:14" ht="30" hidden="1" customHeight="1">
      <c r="A195" s="2" t="str">
        <f>表格2[[#This Row],[站名]]&amp;表格2[[#This Row],[城市]]</f>
        <v>土庫雲林縣</v>
      </c>
      <c r="B195" s="1" t="s">
        <v>780</v>
      </c>
      <c r="C195" s="1" t="s">
        <v>781</v>
      </c>
      <c r="D195" s="1">
        <v>23.678999999999998</v>
      </c>
      <c r="E195" s="1">
        <v>120.3956</v>
      </c>
      <c r="F195" s="1" t="s">
        <v>386</v>
      </c>
      <c r="G195" s="1" t="s">
        <v>2545</v>
      </c>
      <c r="H195" s="1" t="s">
        <v>773</v>
      </c>
      <c r="I195" s="1" t="s">
        <v>782</v>
      </c>
      <c r="J195" s="1"/>
      <c r="K195" s="2">
        <v>42131</v>
      </c>
      <c r="L195" s="3" t="str">
        <f>_xlfn.XLOOKUP(A:A,Gemini建議!A:A,Gemini建議!B:B,"")</f>
        <v/>
      </c>
      <c r="M195" s="1"/>
      <c r="N195" s="1"/>
    </row>
    <row r="196" spans="1:14" ht="30" hidden="1" customHeight="1">
      <c r="A196" s="2" t="str">
        <f>表格2[[#This Row],[站名]]&amp;表格2[[#This Row],[城市]]</f>
        <v>斗六雲林縣</v>
      </c>
      <c r="B196" s="1" t="s">
        <v>783</v>
      </c>
      <c r="C196" s="1" t="s">
        <v>784</v>
      </c>
      <c r="D196" s="1">
        <v>23.720600000000001</v>
      </c>
      <c r="E196" s="1">
        <v>120.5411</v>
      </c>
      <c r="F196" s="1" t="s">
        <v>346</v>
      </c>
      <c r="G196" s="1" t="s">
        <v>2545</v>
      </c>
      <c r="H196" s="1" t="s">
        <v>773</v>
      </c>
      <c r="I196" s="1" t="s">
        <v>785</v>
      </c>
      <c r="J196" s="1"/>
      <c r="K196" s="2">
        <v>42073</v>
      </c>
      <c r="L196" s="3" t="str">
        <f>_xlfn.XLOOKUP(A:A,Gemini建議!A:A,Gemini建議!B:B,"")</f>
        <v/>
      </c>
      <c r="M196" s="1"/>
      <c r="N196" s="1"/>
    </row>
    <row r="197" spans="1:14" ht="30" hidden="1" customHeight="1">
      <c r="A197" s="2" t="str">
        <f>表格2[[#This Row],[站名]]&amp;表格2[[#This Row],[城市]]</f>
        <v>北港雲林縣</v>
      </c>
      <c r="B197" s="1" t="s">
        <v>786</v>
      </c>
      <c r="C197" s="1" t="s">
        <v>787</v>
      </c>
      <c r="D197" s="1">
        <v>23.574000000000002</v>
      </c>
      <c r="E197" s="1">
        <v>120.2928</v>
      </c>
      <c r="F197" s="1" t="s">
        <v>103</v>
      </c>
      <c r="G197" s="1" t="s">
        <v>2545</v>
      </c>
      <c r="H197" s="1" t="s">
        <v>773</v>
      </c>
      <c r="I197" s="1" t="s">
        <v>788</v>
      </c>
      <c r="J197" s="1"/>
      <c r="K197" s="2">
        <v>42086</v>
      </c>
      <c r="L197" s="3" t="str">
        <f>_xlfn.XLOOKUP(A:A,Gemini建議!A:A,Gemini建議!B:B,"")</f>
        <v/>
      </c>
      <c r="M197" s="1"/>
      <c r="N197" s="1"/>
    </row>
    <row r="198" spans="1:14" ht="30" hidden="1" customHeight="1">
      <c r="A198" s="2" t="str">
        <f>表格2[[#This Row],[站名]]&amp;表格2[[#This Row],[城市]]</f>
        <v>西螺雲林縣</v>
      </c>
      <c r="B198" s="1" t="s">
        <v>789</v>
      </c>
      <c r="C198" s="1" t="s">
        <v>790</v>
      </c>
      <c r="D198" s="1">
        <v>23.8004</v>
      </c>
      <c r="E198" s="1">
        <v>120.4674</v>
      </c>
      <c r="F198" s="1" t="s">
        <v>667</v>
      </c>
      <c r="G198" s="1" t="s">
        <v>2545</v>
      </c>
      <c r="H198" s="1" t="s">
        <v>773</v>
      </c>
      <c r="I198" s="1" t="s">
        <v>791</v>
      </c>
      <c r="J198" s="1"/>
      <c r="K198" s="2">
        <v>42130</v>
      </c>
      <c r="L198" s="3" t="str">
        <f>_xlfn.XLOOKUP(A:A,Gemini建議!A:A,Gemini建議!B:B,"")</f>
        <v/>
      </c>
      <c r="M198" s="1"/>
      <c r="N198" s="1"/>
    </row>
    <row r="199" spans="1:14" ht="30" hidden="1" customHeight="1">
      <c r="A199" s="2" t="str">
        <f>表格2[[#This Row],[站名]]&amp;表格2[[#This Row],[城市]]</f>
        <v>褒忠雲林縣</v>
      </c>
      <c r="B199" s="1" t="s">
        <v>792</v>
      </c>
      <c r="C199" s="1" t="s">
        <v>793</v>
      </c>
      <c r="D199" s="1">
        <v>23.690899999999999</v>
      </c>
      <c r="E199" s="1">
        <v>120.3036</v>
      </c>
      <c r="F199" s="1" t="s">
        <v>122</v>
      </c>
      <c r="G199" s="1" t="s">
        <v>2545</v>
      </c>
      <c r="H199" s="1" t="s">
        <v>773</v>
      </c>
      <c r="I199" s="1" t="s">
        <v>794</v>
      </c>
      <c r="J199" s="1"/>
      <c r="K199" s="2">
        <v>42123</v>
      </c>
      <c r="L199" s="3" t="str">
        <f>_xlfn.XLOOKUP(A:A,Gemini建議!A:A,Gemini建議!B:B,"")</f>
        <v/>
      </c>
      <c r="M199" s="1"/>
      <c r="N199" s="1"/>
    </row>
    <row r="200" spans="1:14" ht="30" hidden="1" customHeight="1">
      <c r="A200" s="2" t="str">
        <f>表格2[[#This Row],[站名]]&amp;表格2[[#This Row],[城市]]</f>
        <v>二崙雲林縣</v>
      </c>
      <c r="B200" s="1" t="s">
        <v>795</v>
      </c>
      <c r="C200" s="1" t="s">
        <v>796</v>
      </c>
      <c r="D200" s="1">
        <v>23.7728</v>
      </c>
      <c r="E200" s="1">
        <v>120.4089</v>
      </c>
      <c r="F200" s="1" t="s">
        <v>71</v>
      </c>
      <c r="G200" s="1" t="s">
        <v>2545</v>
      </c>
      <c r="H200" s="1" t="s">
        <v>773</v>
      </c>
      <c r="I200" s="1" t="s">
        <v>797</v>
      </c>
      <c r="J200" s="1"/>
      <c r="K200" s="2">
        <v>42124</v>
      </c>
      <c r="L200" s="3" t="str">
        <f>_xlfn.XLOOKUP(A:A,Gemini建議!A:A,Gemini建議!B:B,"")</f>
        <v/>
      </c>
      <c r="M200" s="1"/>
      <c r="N200" s="1"/>
    </row>
    <row r="201" spans="1:14" ht="30" hidden="1" customHeight="1">
      <c r="A201" s="2" t="str">
        <f>表格2[[#This Row],[站名]]&amp;表格2[[#This Row],[城市]]</f>
        <v>大埤雲林縣</v>
      </c>
      <c r="B201" s="1" t="s">
        <v>798</v>
      </c>
      <c r="C201" s="1" t="s">
        <v>799</v>
      </c>
      <c r="D201" s="1">
        <v>23.646100000000001</v>
      </c>
      <c r="E201" s="1">
        <v>120.4315</v>
      </c>
      <c r="F201" s="1" t="s">
        <v>71</v>
      </c>
      <c r="G201" s="1" t="s">
        <v>2545</v>
      </c>
      <c r="H201" s="1" t="s">
        <v>773</v>
      </c>
      <c r="I201" s="1" t="s">
        <v>800</v>
      </c>
      <c r="J201" s="1"/>
      <c r="K201" s="2">
        <v>42048</v>
      </c>
      <c r="L201" s="3" t="str">
        <f>_xlfn.XLOOKUP(A:A,Gemini建議!A:A,Gemini建議!B:B,"")</f>
        <v/>
      </c>
      <c r="M201" s="1"/>
      <c r="N201" s="1"/>
    </row>
    <row r="202" spans="1:14" ht="30" hidden="1" customHeight="1">
      <c r="A202" s="2" t="str">
        <f>表格2[[#This Row],[站名]]&amp;表格2[[#This Row],[城市]]</f>
        <v>斗南雲林縣</v>
      </c>
      <c r="B202" s="1" t="s">
        <v>801</v>
      </c>
      <c r="C202" s="1" t="s">
        <v>802</v>
      </c>
      <c r="D202" s="1">
        <v>23.678699999999999</v>
      </c>
      <c r="E202" s="1">
        <v>120.47839999999999</v>
      </c>
      <c r="F202" s="1" t="s">
        <v>33</v>
      </c>
      <c r="G202" s="1" t="s">
        <v>2545</v>
      </c>
      <c r="H202" s="1" t="s">
        <v>773</v>
      </c>
      <c r="I202" s="1" t="s">
        <v>803</v>
      </c>
      <c r="J202" s="1"/>
      <c r="K202" s="2">
        <v>42074</v>
      </c>
      <c r="L202" s="3" t="str">
        <f>_xlfn.XLOOKUP(A:A,Gemini建議!A:A,Gemini建議!B:B,"")</f>
        <v/>
      </c>
      <c r="M202" s="1"/>
      <c r="N202" s="1"/>
    </row>
    <row r="203" spans="1:14" ht="30" hidden="1" customHeight="1">
      <c r="A203" s="2" t="str">
        <f>表格2[[#This Row],[站名]]&amp;表格2[[#This Row],[城市]]</f>
        <v>林內雲林縣</v>
      </c>
      <c r="B203" s="1" t="s">
        <v>804</v>
      </c>
      <c r="C203" s="1" t="s">
        <v>805</v>
      </c>
      <c r="D203" s="1">
        <v>23.748699999999999</v>
      </c>
      <c r="E203" s="1">
        <v>120.6096</v>
      </c>
      <c r="F203" s="1" t="s">
        <v>342</v>
      </c>
      <c r="G203" s="1" t="s">
        <v>2545</v>
      </c>
      <c r="H203" s="1" t="s">
        <v>773</v>
      </c>
      <c r="I203" s="1" t="s">
        <v>806</v>
      </c>
      <c r="J203" s="1"/>
      <c r="K203" s="2">
        <v>42069</v>
      </c>
      <c r="L203" s="3" t="str">
        <f>_xlfn.XLOOKUP(A:A,Gemini建議!A:A,Gemini建議!B:B,"")</f>
        <v/>
      </c>
      <c r="M203" s="1"/>
      <c r="N203" s="1"/>
    </row>
    <row r="204" spans="1:14" ht="30" hidden="1" customHeight="1">
      <c r="A204" s="2" t="str">
        <f>表格2[[#This Row],[站名]]&amp;表格2[[#This Row],[城市]]</f>
        <v>莿桐雲林縣</v>
      </c>
      <c r="B204" s="1" t="s">
        <v>807</v>
      </c>
      <c r="C204" s="1" t="s">
        <v>808</v>
      </c>
      <c r="D204" s="1">
        <v>23.761199999999999</v>
      </c>
      <c r="E204" s="1">
        <v>120.50239999999999</v>
      </c>
      <c r="F204" s="1" t="s">
        <v>809</v>
      </c>
      <c r="G204" s="1" t="s">
        <v>2545</v>
      </c>
      <c r="H204" s="1" t="s">
        <v>773</v>
      </c>
      <c r="I204" s="1" t="s">
        <v>810</v>
      </c>
      <c r="J204" s="1"/>
      <c r="K204" s="2">
        <v>42081</v>
      </c>
      <c r="L204" s="3" t="str">
        <f>_xlfn.XLOOKUP(A:A,Gemini建議!A:A,Gemini建議!B:B,"")</f>
        <v/>
      </c>
      <c r="M204" s="1"/>
      <c r="N204" s="1"/>
    </row>
    <row r="205" spans="1:14" ht="30" hidden="1" customHeight="1">
      <c r="A205" s="2" t="str">
        <f>表格2[[#This Row],[站名]]&amp;表格2[[#This Row],[城市]]</f>
        <v>元長雲林縣</v>
      </c>
      <c r="B205" s="1" t="s">
        <v>811</v>
      </c>
      <c r="C205" s="1" t="s">
        <v>812</v>
      </c>
      <c r="D205" s="1">
        <v>23.649799999999999</v>
      </c>
      <c r="E205" s="1">
        <v>120.315</v>
      </c>
      <c r="F205" s="1" t="s">
        <v>813</v>
      </c>
      <c r="G205" s="1" t="s">
        <v>2545</v>
      </c>
      <c r="H205" s="1" t="s">
        <v>773</v>
      </c>
      <c r="I205" s="1" t="s">
        <v>814</v>
      </c>
      <c r="J205" s="1"/>
      <c r="K205" s="2">
        <v>42083</v>
      </c>
      <c r="L205" s="3" t="str">
        <f>_xlfn.XLOOKUP(A:A,Gemini建議!A:A,Gemini建議!B:B,"")</f>
        <v/>
      </c>
      <c r="M205" s="1"/>
      <c r="N205" s="1"/>
    </row>
    <row r="206" spans="1:14" ht="30" hidden="1" customHeight="1">
      <c r="A206" s="2" t="str">
        <f>表格2[[#This Row],[站名]]&amp;表格2[[#This Row],[城市]]</f>
        <v>水林雲林縣</v>
      </c>
      <c r="B206" s="1" t="s">
        <v>815</v>
      </c>
      <c r="C206" s="1" t="s">
        <v>816</v>
      </c>
      <c r="D206" s="1">
        <v>23.572900000000001</v>
      </c>
      <c r="E206" s="1">
        <v>120.246</v>
      </c>
      <c r="F206" s="1" t="s">
        <v>817</v>
      </c>
      <c r="G206" s="1" t="s">
        <v>2545</v>
      </c>
      <c r="H206" s="1" t="s">
        <v>773</v>
      </c>
      <c r="I206" s="1" t="s">
        <v>818</v>
      </c>
      <c r="J206" s="1"/>
      <c r="K206" s="2">
        <v>42082</v>
      </c>
      <c r="L206" s="3" t="str">
        <f>_xlfn.XLOOKUP(A:A,Gemini建議!A:A,Gemini建議!B:B,"")</f>
        <v/>
      </c>
      <c r="M206" s="1"/>
      <c r="N206" s="1"/>
    </row>
    <row r="207" spans="1:14" ht="30" hidden="1" customHeight="1">
      <c r="A207" s="2" t="str">
        <f>表格2[[#This Row],[站名]]&amp;表格2[[#This Row],[城市]]</f>
        <v>臺西雲林縣</v>
      </c>
      <c r="B207" s="1" t="s">
        <v>819</v>
      </c>
      <c r="C207" s="1" t="s">
        <v>820</v>
      </c>
      <c r="D207" s="1">
        <v>23.701499999999999</v>
      </c>
      <c r="E207" s="1">
        <v>120.19759999999999</v>
      </c>
      <c r="F207" s="1" t="s">
        <v>813</v>
      </c>
      <c r="G207" s="1" t="s">
        <v>2545</v>
      </c>
      <c r="H207" s="1" t="s">
        <v>773</v>
      </c>
      <c r="I207" s="1" t="s">
        <v>821</v>
      </c>
      <c r="J207" s="1"/>
      <c r="K207" s="2">
        <v>42091</v>
      </c>
      <c r="L207" s="3" t="str">
        <f>_xlfn.XLOOKUP(A:A,Gemini建議!A:A,Gemini建議!B:B,"")</f>
        <v/>
      </c>
      <c r="M207" s="1"/>
      <c r="N207" s="1"/>
    </row>
    <row r="208" spans="1:14" ht="30" hidden="1" customHeight="1">
      <c r="A208" s="2" t="str">
        <f>表格2[[#This Row],[站名]]&amp;表格2[[#This Row],[城市]]</f>
        <v>蔦松雲林縣</v>
      </c>
      <c r="B208" s="1" t="s">
        <v>822</v>
      </c>
      <c r="C208" s="1" t="s">
        <v>823</v>
      </c>
      <c r="D208" s="1">
        <v>23.514299999999999</v>
      </c>
      <c r="E208" s="1">
        <v>120.22969999999999</v>
      </c>
      <c r="F208" s="1" t="s">
        <v>220</v>
      </c>
      <c r="G208" s="1" t="s">
        <v>2545</v>
      </c>
      <c r="H208" s="1" t="s">
        <v>773</v>
      </c>
      <c r="I208" s="1" t="s">
        <v>824</v>
      </c>
      <c r="J208" s="1"/>
      <c r="K208" s="2">
        <v>42303</v>
      </c>
      <c r="L208" s="3" t="str">
        <f>_xlfn.XLOOKUP(A:A,Gemini建議!A:A,Gemini建議!B:B,"")</f>
        <v/>
      </c>
      <c r="M208" s="1"/>
      <c r="N208" s="1"/>
    </row>
    <row r="209" spans="1:14" ht="30" hidden="1" customHeight="1">
      <c r="A209" s="2" t="str">
        <f>表格2[[#This Row],[站名]]&amp;表格2[[#This Row],[城市]]</f>
        <v>棋山雲林縣</v>
      </c>
      <c r="B209" s="1" t="s">
        <v>825</v>
      </c>
      <c r="C209" s="1" t="s">
        <v>826</v>
      </c>
      <c r="D209" s="1">
        <v>23.686499999999999</v>
      </c>
      <c r="E209" s="1">
        <v>120.60339999999999</v>
      </c>
      <c r="F209" s="1" t="s">
        <v>827</v>
      </c>
      <c r="G209" s="1" t="s">
        <v>2545</v>
      </c>
      <c r="H209" s="1" t="s">
        <v>773</v>
      </c>
      <c r="I209" s="1" t="s">
        <v>828</v>
      </c>
      <c r="J209" s="1"/>
      <c r="K209" s="2">
        <v>42299</v>
      </c>
      <c r="L209" s="3" t="str">
        <f>_xlfn.XLOOKUP(A:A,Gemini建議!A:A,Gemini建議!B:B,"")</f>
        <v/>
      </c>
      <c r="M209" s="1"/>
      <c r="N209" s="1"/>
    </row>
    <row r="210" spans="1:14" ht="30" hidden="1" customHeight="1">
      <c r="A210" s="2" t="str">
        <f>表格2[[#This Row],[站名]]&amp;表格2[[#This Row],[城市]]</f>
        <v>高鐵雲林雲林縣</v>
      </c>
      <c r="B210" s="1" t="s">
        <v>829</v>
      </c>
      <c r="C210" s="1" t="s">
        <v>830</v>
      </c>
      <c r="D210" s="1">
        <v>23.737500000000001</v>
      </c>
      <c r="E210" s="1">
        <v>120.4179</v>
      </c>
      <c r="F210" s="1" t="s">
        <v>162</v>
      </c>
      <c r="G210" s="1" t="s">
        <v>2545</v>
      </c>
      <c r="H210" s="1" t="s">
        <v>773</v>
      </c>
      <c r="I210" s="1" t="s">
        <v>831</v>
      </c>
      <c r="J210" s="1"/>
      <c r="K210" s="2">
        <v>42948</v>
      </c>
      <c r="L210" s="3" t="str">
        <f>_xlfn.XLOOKUP(A:A,Gemini建議!A:A,Gemini建議!B:B,"")</f>
        <v/>
      </c>
      <c r="M210" s="1"/>
      <c r="N210" s="1"/>
    </row>
    <row r="211" spans="1:14" ht="30" hidden="1" customHeight="1">
      <c r="A211" s="2" t="str">
        <f>表格2[[#This Row],[站名]]&amp;表格2[[#This Row],[城市]]</f>
        <v>雲林東勢雲林縣</v>
      </c>
      <c r="B211" s="1" t="s">
        <v>832</v>
      </c>
      <c r="C211" s="1" t="s">
        <v>833</v>
      </c>
      <c r="D211" s="1">
        <v>23.674199999999999</v>
      </c>
      <c r="E211" s="1">
        <v>120.2557</v>
      </c>
      <c r="F211" s="1" t="s">
        <v>203</v>
      </c>
      <c r="G211" s="1" t="s">
        <v>2545</v>
      </c>
      <c r="H211" s="1" t="s">
        <v>773</v>
      </c>
      <c r="I211" s="1" t="s">
        <v>834</v>
      </c>
      <c r="J211" s="1"/>
      <c r="K211" s="2">
        <v>44642</v>
      </c>
      <c r="L211" s="3" t="str">
        <f>_xlfn.XLOOKUP(A:A,Gemini建議!A:A,Gemini建議!B:B,"")</f>
        <v/>
      </c>
      <c r="M211" s="1"/>
      <c r="N211" s="1"/>
    </row>
    <row r="212" spans="1:14" ht="30" hidden="1" customHeight="1">
      <c r="A212" s="2" t="str">
        <f>表格2[[#This Row],[站名]]&amp;表格2[[#This Row],[城市]]</f>
        <v>箔子寮雲林縣</v>
      </c>
      <c r="B212" s="1" t="s">
        <v>835</v>
      </c>
      <c r="C212" s="1" t="s">
        <v>836</v>
      </c>
      <c r="D212" s="1">
        <v>23.619700000000002</v>
      </c>
      <c r="E212" s="1">
        <v>120.14</v>
      </c>
      <c r="F212" s="1" t="s">
        <v>837</v>
      </c>
      <c r="G212" s="1" t="s">
        <v>2545</v>
      </c>
      <c r="H212" s="1" t="s">
        <v>773</v>
      </c>
      <c r="I212" s="1" t="s">
        <v>838</v>
      </c>
      <c r="J212" s="1"/>
      <c r="K212" s="2">
        <v>44921</v>
      </c>
      <c r="L212" s="3" t="str">
        <f>_xlfn.XLOOKUP(A:A,Gemini建議!A:A,Gemini建議!B:B,"")</f>
        <v/>
      </c>
      <c r="M212" s="1"/>
      <c r="N212" s="1"/>
    </row>
    <row r="213" spans="1:14" ht="30" hidden="1" customHeight="1">
      <c r="A213" s="2" t="str">
        <f>表格2[[#This Row],[站名]]&amp;表格2[[#This Row],[城市]]</f>
        <v>東後寮嘉義縣</v>
      </c>
      <c r="B213" s="1" t="s">
        <v>839</v>
      </c>
      <c r="C213" s="1" t="s">
        <v>840</v>
      </c>
      <c r="D213" s="1">
        <v>23.369900000000001</v>
      </c>
      <c r="E213" s="1">
        <v>120.24809999999999</v>
      </c>
      <c r="F213" s="1" t="s">
        <v>220</v>
      </c>
      <c r="G213" s="1" t="s">
        <v>2547</v>
      </c>
      <c r="H213" s="1" t="s">
        <v>841</v>
      </c>
      <c r="I213" s="1" t="s">
        <v>842</v>
      </c>
      <c r="J213" s="1" t="s">
        <v>843</v>
      </c>
      <c r="K213" s="2">
        <v>42188</v>
      </c>
      <c r="L213" s="3" t="str">
        <f>_xlfn.XLOOKUP(A:A,Gemini建議!A:A,Gemini建議!B:B,"")</f>
        <v/>
      </c>
      <c r="M213" s="1"/>
      <c r="N213" s="1"/>
    </row>
    <row r="214" spans="1:14" ht="30" customHeight="1">
      <c r="A214" s="2" t="str">
        <f>表格2[[#This Row],[站名]]&amp;表格2[[#This Row],[城市]]</f>
        <v>奮起湖嘉義縣</v>
      </c>
      <c r="B214" s="1" t="s">
        <v>844</v>
      </c>
      <c r="C214" s="1" t="s">
        <v>845</v>
      </c>
      <c r="D214" s="1">
        <v>23.4939</v>
      </c>
      <c r="E214" s="1">
        <v>120.69929999999999</v>
      </c>
      <c r="F214" s="1" t="s">
        <v>846</v>
      </c>
      <c r="G214" s="1" t="s">
        <v>2547</v>
      </c>
      <c r="H214" s="1" t="s">
        <v>841</v>
      </c>
      <c r="I214" s="1" t="s">
        <v>847</v>
      </c>
      <c r="J214" s="1" t="s">
        <v>848</v>
      </c>
      <c r="K214" s="2">
        <v>33943</v>
      </c>
      <c r="L214" s="3" t="str">
        <f>_xlfn.XLOOKUP(A:A,Gemini建議!A:A,Gemini建議!B:B,"")</f>
        <v>高海拔測站 (全)</v>
      </c>
      <c r="M214" s="1"/>
      <c r="N214" s="1"/>
    </row>
    <row r="215" spans="1:14" ht="30" hidden="1" customHeight="1">
      <c r="A215" s="2" t="str">
        <f>表格2[[#This Row],[站名]]&amp;表格2[[#This Row],[城市]]</f>
        <v>中埔嘉義縣</v>
      </c>
      <c r="B215" s="1" t="s">
        <v>849</v>
      </c>
      <c r="C215" s="1" t="s">
        <v>850</v>
      </c>
      <c r="D215" s="1">
        <v>23.4254</v>
      </c>
      <c r="E215" s="1">
        <v>120.52290000000001</v>
      </c>
      <c r="F215" s="1" t="s">
        <v>361</v>
      </c>
      <c r="G215" s="1" t="s">
        <v>2547</v>
      </c>
      <c r="H215" s="1" t="s">
        <v>841</v>
      </c>
      <c r="I215" s="1" t="s">
        <v>851</v>
      </c>
      <c r="J215" s="1"/>
      <c r="K215" s="2">
        <v>42114</v>
      </c>
      <c r="L215" s="3" t="str">
        <f>_xlfn.XLOOKUP(A:A,Gemini建議!A:A,Gemini建議!B:B,"")</f>
        <v/>
      </c>
      <c r="M215" s="1"/>
      <c r="N215" s="1"/>
    </row>
    <row r="216" spans="1:14" ht="30" hidden="1" customHeight="1">
      <c r="A216" s="2" t="str">
        <f>表格2[[#This Row],[站名]]&amp;表格2[[#This Row],[城市]]</f>
        <v>朴子嘉義縣</v>
      </c>
      <c r="B216" s="1" t="s">
        <v>852</v>
      </c>
      <c r="C216" s="1" t="s">
        <v>853</v>
      </c>
      <c r="D216" s="1">
        <v>23.4346</v>
      </c>
      <c r="E216" s="1">
        <v>120.239</v>
      </c>
      <c r="F216" s="1" t="s">
        <v>103</v>
      </c>
      <c r="G216" s="1" t="s">
        <v>2547</v>
      </c>
      <c r="H216" s="1" t="s">
        <v>841</v>
      </c>
      <c r="I216" s="1" t="s">
        <v>854</v>
      </c>
      <c r="J216" s="1"/>
      <c r="K216" s="2">
        <v>42089</v>
      </c>
      <c r="L216" s="3" t="str">
        <f>_xlfn.XLOOKUP(A:A,Gemini建議!A:A,Gemini建議!B:B,"")</f>
        <v/>
      </c>
      <c r="M216" s="1"/>
      <c r="N216" s="1"/>
    </row>
    <row r="217" spans="1:14" ht="30" hidden="1" customHeight="1">
      <c r="A217" s="2" t="str">
        <f>表格2[[#This Row],[站名]]&amp;表格2[[#This Row],[城市]]</f>
        <v>溪口嘉義縣</v>
      </c>
      <c r="B217" s="1" t="s">
        <v>855</v>
      </c>
      <c r="C217" s="1" t="s">
        <v>856</v>
      </c>
      <c r="D217" s="1">
        <v>23.604099999999999</v>
      </c>
      <c r="E217" s="1">
        <v>120.4036</v>
      </c>
      <c r="F217" s="1" t="s">
        <v>46</v>
      </c>
      <c r="G217" s="1" t="s">
        <v>2547</v>
      </c>
      <c r="H217" s="1" t="s">
        <v>841</v>
      </c>
      <c r="I217" s="1" t="s">
        <v>857</v>
      </c>
      <c r="J217" s="1"/>
      <c r="K217" s="2">
        <v>42123</v>
      </c>
      <c r="L217" s="3" t="str">
        <f>_xlfn.XLOOKUP(A:A,Gemini建議!A:A,Gemini建議!B:B,"")</f>
        <v/>
      </c>
      <c r="M217" s="1"/>
      <c r="N217" s="1"/>
    </row>
    <row r="218" spans="1:14" ht="30" hidden="1" customHeight="1">
      <c r="A218" s="2" t="str">
        <f>表格2[[#This Row],[站名]]&amp;表格2[[#This Row],[城市]]</f>
        <v>大林嘉義縣</v>
      </c>
      <c r="B218" s="1" t="s">
        <v>858</v>
      </c>
      <c r="C218" s="1" t="s">
        <v>859</v>
      </c>
      <c r="D218" s="1">
        <v>23.6006</v>
      </c>
      <c r="E218" s="1">
        <v>120.4584</v>
      </c>
      <c r="F218" s="1" t="s">
        <v>523</v>
      </c>
      <c r="G218" s="1" t="s">
        <v>2547</v>
      </c>
      <c r="H218" s="1" t="s">
        <v>841</v>
      </c>
      <c r="I218" s="1" t="s">
        <v>860</v>
      </c>
      <c r="J218" s="1"/>
      <c r="K218" s="2">
        <v>42118</v>
      </c>
      <c r="L218" s="3" t="str">
        <f>_xlfn.XLOOKUP(A:A,Gemini建議!A:A,Gemini建議!B:B,"")</f>
        <v/>
      </c>
      <c r="M218" s="1"/>
      <c r="N218" s="1"/>
    </row>
    <row r="219" spans="1:14" ht="30" hidden="1" customHeight="1">
      <c r="A219" s="2" t="str">
        <f>表格2[[#This Row],[站名]]&amp;表格2[[#This Row],[城市]]</f>
        <v>太保嘉義縣</v>
      </c>
      <c r="B219" s="1" t="s">
        <v>861</v>
      </c>
      <c r="C219" s="1" t="s">
        <v>862</v>
      </c>
      <c r="D219" s="1">
        <v>23.455100000000002</v>
      </c>
      <c r="E219" s="1">
        <v>120.33150000000001</v>
      </c>
      <c r="F219" s="1" t="s">
        <v>426</v>
      </c>
      <c r="G219" s="1" t="s">
        <v>2547</v>
      </c>
      <c r="H219" s="1" t="s">
        <v>841</v>
      </c>
      <c r="I219" s="1" t="s">
        <v>863</v>
      </c>
      <c r="J219" s="1"/>
      <c r="K219" s="2">
        <v>42088</v>
      </c>
      <c r="L219" s="3" t="str">
        <f>_xlfn.XLOOKUP(A:A,Gemini建議!A:A,Gemini建議!B:B,"")</f>
        <v/>
      </c>
      <c r="M219" s="1"/>
      <c r="N219" s="1"/>
    </row>
    <row r="220" spans="1:14" ht="30" hidden="1" customHeight="1">
      <c r="A220" s="2" t="str">
        <f>表格2[[#This Row],[站名]]&amp;表格2[[#This Row],[城市]]</f>
        <v>水上嘉義縣</v>
      </c>
      <c r="B220" s="1" t="s">
        <v>864</v>
      </c>
      <c r="C220" s="1" t="s">
        <v>865</v>
      </c>
      <c r="D220" s="1">
        <v>23.419699999999999</v>
      </c>
      <c r="E220" s="1">
        <v>120.38890000000001</v>
      </c>
      <c r="F220" s="1" t="s">
        <v>866</v>
      </c>
      <c r="G220" s="1" t="s">
        <v>2547</v>
      </c>
      <c r="H220" s="1" t="s">
        <v>841</v>
      </c>
      <c r="I220" s="1" t="s">
        <v>867</v>
      </c>
      <c r="J220" s="1"/>
      <c r="K220" s="2">
        <v>42108</v>
      </c>
      <c r="L220" s="3" t="str">
        <f>_xlfn.XLOOKUP(A:A,Gemini建議!A:A,Gemini建議!B:B,"")</f>
        <v/>
      </c>
      <c r="M220" s="1"/>
      <c r="N220" s="1"/>
    </row>
    <row r="221" spans="1:14" ht="30" hidden="1" customHeight="1">
      <c r="A221" s="2" t="str">
        <f>表格2[[#This Row],[站名]]&amp;表格2[[#This Row],[城市]]</f>
        <v>竹崎嘉義縣</v>
      </c>
      <c r="B221" s="1" t="s">
        <v>868</v>
      </c>
      <c r="C221" s="1" t="s">
        <v>869</v>
      </c>
      <c r="D221" s="1">
        <v>23.526199999999999</v>
      </c>
      <c r="E221" s="1">
        <v>120.55549999999999</v>
      </c>
      <c r="F221" s="1" t="s">
        <v>870</v>
      </c>
      <c r="G221" s="1" t="s">
        <v>2547</v>
      </c>
      <c r="H221" s="1" t="s">
        <v>841</v>
      </c>
      <c r="I221" s="1" t="s">
        <v>871</v>
      </c>
      <c r="J221" s="1"/>
      <c r="K221" s="2">
        <v>42110</v>
      </c>
      <c r="L221" s="3" t="str">
        <f>_xlfn.XLOOKUP(A:A,Gemini建議!A:A,Gemini建議!B:B,"")</f>
        <v/>
      </c>
      <c r="M221" s="1"/>
      <c r="N221" s="1"/>
    </row>
    <row r="222" spans="1:14" ht="30" hidden="1" customHeight="1">
      <c r="A222" s="2" t="str">
        <f>表格2[[#This Row],[站名]]&amp;表格2[[#This Row],[城市]]</f>
        <v>東石嘉義縣</v>
      </c>
      <c r="B222" s="1" t="s">
        <v>872</v>
      </c>
      <c r="C222" s="1" t="s">
        <v>873</v>
      </c>
      <c r="D222" s="1">
        <v>23.4589</v>
      </c>
      <c r="E222" s="1">
        <v>120.15389999999999</v>
      </c>
      <c r="F222" s="1" t="s">
        <v>220</v>
      </c>
      <c r="G222" s="1" t="s">
        <v>2547</v>
      </c>
      <c r="H222" s="1" t="s">
        <v>841</v>
      </c>
      <c r="I222" s="1" t="s">
        <v>874</v>
      </c>
      <c r="J222" s="1"/>
      <c r="K222" s="2">
        <v>42114</v>
      </c>
      <c r="L222" s="3" t="str">
        <f>_xlfn.XLOOKUP(A:A,Gemini建議!A:A,Gemini建議!B:B,"")</f>
        <v/>
      </c>
      <c r="M222" s="1"/>
      <c r="N222" s="1"/>
    </row>
    <row r="223" spans="1:14" ht="30" hidden="1" customHeight="1">
      <c r="A223" s="2" t="str">
        <f>表格2[[#This Row],[站名]]&amp;表格2[[#This Row],[城市]]</f>
        <v>番路嘉義縣</v>
      </c>
      <c r="B223" s="1" t="s">
        <v>875</v>
      </c>
      <c r="C223" s="1" t="s">
        <v>876</v>
      </c>
      <c r="D223" s="1">
        <v>23.464700000000001</v>
      </c>
      <c r="E223" s="1">
        <v>120.55419999999999</v>
      </c>
      <c r="F223" s="1" t="s">
        <v>877</v>
      </c>
      <c r="G223" s="1" t="s">
        <v>2547</v>
      </c>
      <c r="H223" s="1" t="s">
        <v>841</v>
      </c>
      <c r="I223" s="1" t="s">
        <v>878</v>
      </c>
      <c r="J223" s="1"/>
      <c r="K223" s="2">
        <v>42117</v>
      </c>
      <c r="L223" s="3" t="str">
        <f>_xlfn.XLOOKUP(A:A,Gemini建議!A:A,Gemini建議!B:B,"")</f>
        <v/>
      </c>
      <c r="M223" s="1"/>
      <c r="N223" s="1"/>
    </row>
    <row r="224" spans="1:14" ht="30" customHeight="1">
      <c r="A224" s="2" t="str">
        <f>表格2[[#This Row],[站名]]&amp;表格2[[#This Row],[城市]]</f>
        <v>嘉義市東區嘉義市</v>
      </c>
      <c r="B224" s="1" t="s">
        <v>879</v>
      </c>
      <c r="C224" s="1" t="s">
        <v>880</v>
      </c>
      <c r="D224" s="1">
        <v>23.457699999999999</v>
      </c>
      <c r="E224" s="1">
        <v>120.4605</v>
      </c>
      <c r="F224" s="1" t="s">
        <v>46</v>
      </c>
      <c r="G224" s="1" t="s">
        <v>2546</v>
      </c>
      <c r="H224" s="1" t="s">
        <v>881</v>
      </c>
      <c r="I224" s="1" t="s">
        <v>882</v>
      </c>
      <c r="J224" s="1"/>
      <c r="K224" s="2">
        <v>42107</v>
      </c>
      <c r="L224" s="3" t="str">
        <f>_xlfn.XLOOKUP(A:A,Gemini建議!A:A,Gemini建議!B:B,"")</f>
        <v>低海拔代表站</v>
      </c>
      <c r="M224" s="1"/>
      <c r="N224" s="1"/>
    </row>
    <row r="225" spans="1:14" ht="30" hidden="1" customHeight="1">
      <c r="A225" s="2" t="str">
        <f>表格2[[#This Row],[站名]]&amp;表格2[[#This Row],[城市]]</f>
        <v>六腳嘉義縣</v>
      </c>
      <c r="B225" s="1" t="s">
        <v>883</v>
      </c>
      <c r="C225" s="1" t="s">
        <v>884</v>
      </c>
      <c r="D225" s="1">
        <v>23.492899999999999</v>
      </c>
      <c r="E225" s="1">
        <v>120.2906</v>
      </c>
      <c r="F225" s="1" t="s">
        <v>220</v>
      </c>
      <c r="G225" s="1" t="s">
        <v>2547</v>
      </c>
      <c r="H225" s="1" t="s">
        <v>841</v>
      </c>
      <c r="I225" s="1" t="s">
        <v>885</v>
      </c>
      <c r="J225" s="1"/>
      <c r="K225" s="2">
        <v>42091</v>
      </c>
      <c r="L225" s="3" t="str">
        <f>_xlfn.XLOOKUP(A:A,Gemini建議!A:A,Gemini建議!B:B,"")</f>
        <v/>
      </c>
      <c r="M225" s="1"/>
      <c r="N225" s="1"/>
    </row>
    <row r="226" spans="1:14" ht="30" hidden="1" customHeight="1">
      <c r="A226" s="2" t="str">
        <f>表格2[[#This Row],[站名]]&amp;表格2[[#This Row],[城市]]</f>
        <v>布袋嘉義縣</v>
      </c>
      <c r="B226" s="1" t="s">
        <v>886</v>
      </c>
      <c r="C226" s="1" t="s">
        <v>887</v>
      </c>
      <c r="D226" s="1">
        <v>23.3809</v>
      </c>
      <c r="E226" s="1">
        <v>120.1678</v>
      </c>
      <c r="F226" s="1" t="s">
        <v>817</v>
      </c>
      <c r="G226" s="1" t="s">
        <v>2547</v>
      </c>
      <c r="H226" s="1" t="s">
        <v>841</v>
      </c>
      <c r="I226" s="1" t="s">
        <v>888</v>
      </c>
      <c r="J226" s="1"/>
      <c r="K226" s="2">
        <v>42087</v>
      </c>
      <c r="L226" s="3" t="str">
        <f>_xlfn.XLOOKUP(A:A,Gemini建議!A:A,Gemini建議!B:B,"")</f>
        <v/>
      </c>
      <c r="M226" s="1"/>
      <c r="N226" s="1"/>
    </row>
    <row r="227" spans="1:14" ht="30" customHeight="1">
      <c r="A227" s="2" t="str">
        <f>表格2[[#This Row],[站名]]&amp;表格2[[#This Row],[城市]]</f>
        <v>民雄嘉義縣</v>
      </c>
      <c r="B227" s="1" t="s">
        <v>889</v>
      </c>
      <c r="C227" s="1" t="s">
        <v>890</v>
      </c>
      <c r="D227" s="1">
        <v>23.5518</v>
      </c>
      <c r="E227" s="1">
        <v>120.4285</v>
      </c>
      <c r="F227" s="1" t="s">
        <v>46</v>
      </c>
      <c r="G227" s="1" t="s">
        <v>2547</v>
      </c>
      <c r="H227" s="1" t="s">
        <v>841</v>
      </c>
      <c r="I227" s="1" t="s">
        <v>891</v>
      </c>
      <c r="J227" s="1"/>
      <c r="K227" s="2">
        <v>42080</v>
      </c>
      <c r="L227" s="3" t="str">
        <f>_xlfn.XLOOKUP(A:A,Gemini建議!A:A,Gemini建議!B:B,"")</f>
        <v>低海拔代表站</v>
      </c>
      <c r="M227" s="1"/>
      <c r="N227" s="1"/>
    </row>
    <row r="228" spans="1:14" ht="30" hidden="1" customHeight="1">
      <c r="A228" s="2" t="str">
        <f>表格2[[#This Row],[站名]]&amp;表格2[[#This Row],[城市]]</f>
        <v>嘉義梅山嘉義縣</v>
      </c>
      <c r="B228" s="1" t="s">
        <v>892</v>
      </c>
      <c r="C228" s="1" t="s">
        <v>893</v>
      </c>
      <c r="D228" s="1">
        <v>23.5854</v>
      </c>
      <c r="E228" s="1">
        <v>120.5556</v>
      </c>
      <c r="F228" s="1" t="s">
        <v>894</v>
      </c>
      <c r="G228" s="1" t="s">
        <v>2547</v>
      </c>
      <c r="H228" s="1" t="s">
        <v>841</v>
      </c>
      <c r="I228" s="1" t="s">
        <v>895</v>
      </c>
      <c r="J228" s="1"/>
      <c r="K228" s="2">
        <v>42066</v>
      </c>
      <c r="L228" s="3" t="str">
        <f>_xlfn.XLOOKUP(A:A,Gemini建議!A:A,Gemini建議!B:B,"")</f>
        <v/>
      </c>
      <c r="M228" s="1"/>
      <c r="N228" s="1"/>
    </row>
    <row r="229" spans="1:14" ht="30" hidden="1" customHeight="1">
      <c r="A229" s="2" t="str">
        <f>表格2[[#This Row],[站名]]&amp;表格2[[#This Row],[城市]]</f>
        <v>鹿草嘉義縣</v>
      </c>
      <c r="B229" s="1" t="s">
        <v>896</v>
      </c>
      <c r="C229" s="1" t="s">
        <v>897</v>
      </c>
      <c r="D229" s="1">
        <v>23.411300000000001</v>
      </c>
      <c r="E229" s="1">
        <v>120.30840000000001</v>
      </c>
      <c r="F229" s="1" t="s">
        <v>122</v>
      </c>
      <c r="G229" s="1" t="s">
        <v>2547</v>
      </c>
      <c r="H229" s="1" t="s">
        <v>841</v>
      </c>
      <c r="I229" s="1" t="s">
        <v>898</v>
      </c>
      <c r="J229" s="1"/>
      <c r="K229" s="2">
        <v>42090</v>
      </c>
      <c r="L229" s="3" t="str">
        <f>_xlfn.XLOOKUP(A:A,Gemini建議!A:A,Gemini建議!B:B,"")</f>
        <v/>
      </c>
      <c r="M229" s="1"/>
      <c r="N229" s="1"/>
    </row>
    <row r="230" spans="1:14" ht="30" hidden="1" customHeight="1">
      <c r="A230" s="2" t="str">
        <f>表格2[[#This Row],[站名]]&amp;表格2[[#This Row],[城市]]</f>
        <v>新港嘉義縣</v>
      </c>
      <c r="B230" s="1" t="s">
        <v>899</v>
      </c>
      <c r="C230" s="1" t="s">
        <v>900</v>
      </c>
      <c r="D230" s="1">
        <v>23.5533</v>
      </c>
      <c r="E230" s="1">
        <v>120.34569999999999</v>
      </c>
      <c r="F230" s="1" t="s">
        <v>220</v>
      </c>
      <c r="G230" s="1" t="s">
        <v>2547</v>
      </c>
      <c r="H230" s="1" t="s">
        <v>841</v>
      </c>
      <c r="I230" s="1" t="s">
        <v>901</v>
      </c>
      <c r="J230" s="1"/>
      <c r="K230" s="2">
        <v>42090</v>
      </c>
      <c r="L230" s="3" t="str">
        <f>_xlfn.XLOOKUP(A:A,Gemini建議!A:A,Gemini建議!B:B,"")</f>
        <v/>
      </c>
      <c r="M230" s="1"/>
      <c r="N230" s="1"/>
    </row>
    <row r="231" spans="1:14" ht="30" hidden="1" customHeight="1">
      <c r="A231" s="2" t="str">
        <f>表格2[[#This Row],[站名]]&amp;表格2[[#This Row],[城市]]</f>
        <v>茶山嘉義縣</v>
      </c>
      <c r="B231" s="1" t="s">
        <v>902</v>
      </c>
      <c r="C231" s="1" t="s">
        <v>903</v>
      </c>
      <c r="D231" s="1">
        <v>23.299099999999999</v>
      </c>
      <c r="E231" s="1">
        <v>120.6648</v>
      </c>
      <c r="F231" s="1" t="s">
        <v>689</v>
      </c>
      <c r="G231" s="1" t="s">
        <v>2547</v>
      </c>
      <c r="H231" s="1" t="s">
        <v>841</v>
      </c>
      <c r="I231" s="1" t="s">
        <v>904</v>
      </c>
      <c r="J231" s="1"/>
      <c r="K231" s="2">
        <v>42311</v>
      </c>
      <c r="L231" s="3" t="str">
        <f>_xlfn.XLOOKUP(A:A,Gemini建議!A:A,Gemini建議!B:B,"")</f>
        <v/>
      </c>
      <c r="M231" s="1"/>
      <c r="N231" s="1"/>
    </row>
    <row r="232" spans="1:14" ht="30" customHeight="1">
      <c r="A232" s="2" t="str">
        <f>表格2[[#This Row],[站名]]&amp;表格2[[#This Row],[城市]]</f>
        <v>里佳嘉義縣</v>
      </c>
      <c r="B232" s="1" t="s">
        <v>905</v>
      </c>
      <c r="C232" s="1" t="s">
        <v>906</v>
      </c>
      <c r="D232" s="1">
        <v>23.389099999999999</v>
      </c>
      <c r="E232" s="1">
        <v>120.7166</v>
      </c>
      <c r="F232" s="1" t="s">
        <v>907</v>
      </c>
      <c r="G232" s="1" t="s">
        <v>2547</v>
      </c>
      <c r="H232" s="1" t="s">
        <v>841</v>
      </c>
      <c r="I232" s="1" t="s">
        <v>908</v>
      </c>
      <c r="J232" s="1"/>
      <c r="K232" s="2">
        <v>42319</v>
      </c>
      <c r="L232" s="3" t="str">
        <f>_xlfn.XLOOKUP(A:A,Gemini建議!A:A,Gemini建議!B:B,"")</f>
        <v>高海拔測站 (全)</v>
      </c>
      <c r="M232" s="1"/>
      <c r="N232" s="1"/>
    </row>
    <row r="233" spans="1:14" ht="30" customHeight="1">
      <c r="A233" s="2" t="str">
        <f>表格2[[#This Row],[站名]]&amp;表格2[[#This Row],[城市]]</f>
        <v>達邦嘉義縣</v>
      </c>
      <c r="B233" s="1" t="s">
        <v>909</v>
      </c>
      <c r="C233" s="1" t="s">
        <v>910</v>
      </c>
      <c r="D233" s="1">
        <v>23.454000000000001</v>
      </c>
      <c r="E233" s="1">
        <v>120.7495</v>
      </c>
      <c r="F233" s="1" t="s">
        <v>911</v>
      </c>
      <c r="G233" s="1" t="s">
        <v>2547</v>
      </c>
      <c r="H233" s="1" t="s">
        <v>841</v>
      </c>
      <c r="I233" s="1" t="s">
        <v>912</v>
      </c>
      <c r="J233" s="1"/>
      <c r="K233" s="2">
        <v>42312</v>
      </c>
      <c r="L233" s="3" t="str">
        <f>_xlfn.XLOOKUP(A:A,Gemini建議!A:A,Gemini建議!B:B,"")</f>
        <v>高海拔測站 (全)</v>
      </c>
      <c r="M233" s="1"/>
      <c r="N233" s="1"/>
    </row>
    <row r="234" spans="1:14" ht="30" customHeight="1">
      <c r="A234" s="2" t="str">
        <f>表格2[[#This Row],[站名]]&amp;表格2[[#This Row],[城市]]</f>
        <v>表湖嘉義縣</v>
      </c>
      <c r="B234" s="1" t="s">
        <v>913</v>
      </c>
      <c r="C234" s="1" t="s">
        <v>914</v>
      </c>
      <c r="D234" s="1">
        <v>23.241900000000001</v>
      </c>
      <c r="E234" s="1">
        <v>120.6417</v>
      </c>
      <c r="F234" s="1" t="s">
        <v>915</v>
      </c>
      <c r="G234" s="1" t="s">
        <v>2547</v>
      </c>
      <c r="H234" s="1" t="s">
        <v>841</v>
      </c>
      <c r="I234" s="1" t="s">
        <v>916</v>
      </c>
      <c r="J234" s="1"/>
      <c r="K234" s="2">
        <v>43145</v>
      </c>
      <c r="L234" s="3" t="str">
        <f>_xlfn.XLOOKUP(A:A,Gemini建議!A:A,Gemini建議!B:B,"")</f>
        <v>高海拔測站 (全)</v>
      </c>
      <c r="M234" s="1"/>
      <c r="N234" s="1"/>
    </row>
    <row r="235" spans="1:14" ht="30" customHeight="1">
      <c r="A235" s="2" t="str">
        <f>表格2[[#This Row],[站名]]&amp;表格2[[#This Row],[城市]]</f>
        <v>新美嘉義縣</v>
      </c>
      <c r="B235" s="1" t="s">
        <v>917</v>
      </c>
      <c r="C235" s="1" t="s">
        <v>918</v>
      </c>
      <c r="D235" s="1">
        <v>23.338000000000001</v>
      </c>
      <c r="E235" s="1">
        <v>120.6832</v>
      </c>
      <c r="F235" s="1" t="s">
        <v>919</v>
      </c>
      <c r="G235" s="1" t="s">
        <v>2547</v>
      </c>
      <c r="H235" s="1" t="s">
        <v>841</v>
      </c>
      <c r="I235" s="1" t="s">
        <v>920</v>
      </c>
      <c r="J235" s="1"/>
      <c r="K235" s="2">
        <v>43921</v>
      </c>
      <c r="L235" s="3" t="str">
        <f>_xlfn.XLOOKUP(A:A,Gemini建議!A:A,Gemini建議!B:B,"")</f>
        <v>高海拔測站 (全)</v>
      </c>
      <c r="M235" s="1"/>
      <c r="N235" s="1"/>
    </row>
    <row r="236" spans="1:14" ht="30" hidden="1" customHeight="1">
      <c r="A236" s="2" t="str">
        <f>表格2[[#This Row],[站名]]&amp;表格2[[#This Row],[城市]]</f>
        <v>好美里嘉義縣</v>
      </c>
      <c r="B236" s="1" t="s">
        <v>921</v>
      </c>
      <c r="C236" s="1" t="s">
        <v>922</v>
      </c>
      <c r="D236" s="1">
        <v>23.336400000000001</v>
      </c>
      <c r="E236" s="1">
        <v>120.13800000000001</v>
      </c>
      <c r="F236" s="1" t="s">
        <v>99</v>
      </c>
      <c r="G236" s="1" t="s">
        <v>2547</v>
      </c>
      <c r="H236" s="1" t="s">
        <v>841</v>
      </c>
      <c r="I236" s="1" t="s">
        <v>923</v>
      </c>
      <c r="J236" s="1"/>
      <c r="K236" s="2">
        <v>44921</v>
      </c>
      <c r="L236" s="3" t="str">
        <f>_xlfn.XLOOKUP(A:A,Gemini建議!A:A,Gemini建議!B:B,"")</f>
        <v/>
      </c>
      <c r="M236" s="1"/>
      <c r="N236" s="1"/>
    </row>
    <row r="237" spans="1:14" ht="30" hidden="1" customHeight="1">
      <c r="A237" s="2" t="str">
        <f>表格2[[#This Row],[站名]]&amp;表格2[[#This Row],[城市]]</f>
        <v>鯤鯓國小臺南市</v>
      </c>
      <c r="B237" s="1" t="s">
        <v>924</v>
      </c>
      <c r="C237" s="1" t="s">
        <v>925</v>
      </c>
      <c r="D237" s="1">
        <v>23.187899999999999</v>
      </c>
      <c r="E237" s="1">
        <v>120.0889</v>
      </c>
      <c r="F237" s="1" t="s">
        <v>252</v>
      </c>
      <c r="G237" s="1" t="s">
        <v>2548</v>
      </c>
      <c r="H237" s="1" t="s">
        <v>926</v>
      </c>
      <c r="I237" s="1" t="s">
        <v>927</v>
      </c>
      <c r="J237" s="1"/>
      <c r="K237" s="2">
        <v>44921</v>
      </c>
      <c r="L237" s="3" t="str">
        <f>_xlfn.XLOOKUP(A:A,Gemini建議!A:A,Gemini建議!B:B,"")</f>
        <v/>
      </c>
      <c r="M237" s="1"/>
      <c r="N237" s="1"/>
    </row>
    <row r="238" spans="1:14" ht="30" hidden="1" customHeight="1">
      <c r="A238" s="2" t="str">
        <f>表格2[[#This Row],[站名]]&amp;表格2[[#This Row],[城市]]</f>
        <v>城西臺南市</v>
      </c>
      <c r="B238" s="1" t="s">
        <v>928</v>
      </c>
      <c r="C238" s="1" t="s">
        <v>929</v>
      </c>
      <c r="D238" s="1">
        <v>23.056799999999999</v>
      </c>
      <c r="E238" s="1">
        <v>120.0956</v>
      </c>
      <c r="F238" s="1" t="s">
        <v>99</v>
      </c>
      <c r="G238" s="1" t="s">
        <v>2548</v>
      </c>
      <c r="H238" s="1" t="s">
        <v>926</v>
      </c>
      <c r="I238" s="1" t="s">
        <v>930</v>
      </c>
      <c r="J238" s="1"/>
      <c r="K238" s="2">
        <v>44921</v>
      </c>
      <c r="L238" s="3" t="str">
        <f>_xlfn.XLOOKUP(A:A,Gemini建議!A:A,Gemini建議!B:B,"")</f>
        <v/>
      </c>
      <c r="M238" s="1"/>
      <c r="N238" s="1"/>
    </row>
    <row r="239" spans="1:14" ht="30" hidden="1" customHeight="1">
      <c r="A239" s="2" t="str">
        <f>表格2[[#This Row],[站名]]&amp;表格2[[#This Row],[城市]]</f>
        <v>四草臺南市</v>
      </c>
      <c r="B239" s="1" t="s">
        <v>931</v>
      </c>
      <c r="C239" s="1" t="s">
        <v>932</v>
      </c>
      <c r="D239" s="1">
        <v>23.023499999999999</v>
      </c>
      <c r="E239" s="1">
        <v>120.1116</v>
      </c>
      <c r="F239" s="1" t="s">
        <v>933</v>
      </c>
      <c r="G239" s="1" t="s">
        <v>2548</v>
      </c>
      <c r="H239" s="1" t="s">
        <v>926</v>
      </c>
      <c r="I239" s="1" t="s">
        <v>934</v>
      </c>
      <c r="J239" s="1"/>
      <c r="K239" s="2">
        <v>44921</v>
      </c>
      <c r="L239" s="3" t="str">
        <f>_xlfn.XLOOKUP(A:A,Gemini建議!A:A,Gemini建議!B:B,"")</f>
        <v/>
      </c>
      <c r="M239" s="1"/>
      <c r="N239" s="1"/>
    </row>
    <row r="240" spans="1:14" ht="30" hidden="1" customHeight="1">
      <c r="A240" s="2" t="str">
        <f>表格2[[#This Row],[站名]]&amp;表格2[[#This Row],[城市]]</f>
        <v>蘆竹溝臺南市</v>
      </c>
      <c r="B240" s="1" t="s">
        <v>935</v>
      </c>
      <c r="C240" s="1" t="s">
        <v>936</v>
      </c>
      <c r="D240" s="1">
        <v>23.234400000000001</v>
      </c>
      <c r="E240" s="1">
        <v>120.09610000000001</v>
      </c>
      <c r="F240" s="1" t="s">
        <v>175</v>
      </c>
      <c r="G240" s="1" t="s">
        <v>2548</v>
      </c>
      <c r="H240" s="1" t="s">
        <v>926</v>
      </c>
      <c r="I240" s="1" t="s">
        <v>937</v>
      </c>
      <c r="J240" s="1"/>
      <c r="K240" s="2">
        <v>44921</v>
      </c>
      <c r="L240" s="3" t="str">
        <f>_xlfn.XLOOKUP(A:A,Gemini建議!A:A,Gemini建議!B:B,"")</f>
        <v/>
      </c>
      <c r="M240" s="1"/>
      <c r="N240" s="1"/>
    </row>
    <row r="241" spans="1:14" ht="30" hidden="1" customHeight="1">
      <c r="A241" s="2" t="str">
        <f>表格2[[#This Row],[站名]]&amp;表格2[[#This Row],[城市]]</f>
        <v>蚵寮臺南市</v>
      </c>
      <c r="B241" s="1" t="s">
        <v>938</v>
      </c>
      <c r="C241" s="1" t="s">
        <v>939</v>
      </c>
      <c r="D241" s="1">
        <v>23.300999999999998</v>
      </c>
      <c r="E241" s="1">
        <v>120.1104</v>
      </c>
      <c r="F241" s="1" t="s">
        <v>426</v>
      </c>
      <c r="G241" s="1" t="s">
        <v>2548</v>
      </c>
      <c r="H241" s="1" t="s">
        <v>926</v>
      </c>
      <c r="I241" s="1" t="s">
        <v>940</v>
      </c>
      <c r="J241" s="1"/>
      <c r="K241" s="2">
        <v>44921</v>
      </c>
      <c r="L241" s="3" t="str">
        <f>_xlfn.XLOOKUP(A:A,Gemini建議!A:A,Gemini建議!B:B,"")</f>
        <v/>
      </c>
      <c r="M241" s="1"/>
      <c r="N241" s="1"/>
    </row>
    <row r="242" spans="1:14" ht="30" hidden="1" customHeight="1">
      <c r="A242" s="2" t="str">
        <f>表格2[[#This Row],[站名]]&amp;表格2[[#This Row],[城市]]</f>
        <v>北寮臺南市</v>
      </c>
      <c r="B242" s="1" t="s">
        <v>941</v>
      </c>
      <c r="C242" s="1" t="s">
        <v>942</v>
      </c>
      <c r="D242" s="1">
        <v>23.079599999999999</v>
      </c>
      <c r="E242" s="1">
        <v>120.495</v>
      </c>
      <c r="F242" s="1" t="s">
        <v>943</v>
      </c>
      <c r="G242" s="1" t="s">
        <v>2548</v>
      </c>
      <c r="H242" s="1" t="s">
        <v>926</v>
      </c>
      <c r="I242" s="1" t="s">
        <v>944</v>
      </c>
      <c r="J242" s="1" t="s">
        <v>945</v>
      </c>
      <c r="K242" s="2">
        <v>41382</v>
      </c>
      <c r="L242" s="3" t="str">
        <f>_xlfn.XLOOKUP(A:A,Gemini建議!A:A,Gemini建議!B:B,"")</f>
        <v/>
      </c>
      <c r="M242" s="1"/>
      <c r="N242" s="1"/>
    </row>
    <row r="243" spans="1:14" ht="30" hidden="1" customHeight="1">
      <c r="A243" s="2" t="str">
        <f>表格2[[#This Row],[站名]]&amp;表格2[[#This Row],[城市]]</f>
        <v>王爺宮臺南市</v>
      </c>
      <c r="B243" s="1" t="s">
        <v>946</v>
      </c>
      <c r="C243" s="1" t="s">
        <v>947</v>
      </c>
      <c r="D243" s="1">
        <v>23.222100000000001</v>
      </c>
      <c r="E243" s="1">
        <v>120.40089999999999</v>
      </c>
      <c r="F243" s="1" t="s">
        <v>948</v>
      </c>
      <c r="G243" s="1" t="s">
        <v>2548</v>
      </c>
      <c r="H243" s="1" t="s">
        <v>926</v>
      </c>
      <c r="I243" s="1" t="s">
        <v>949</v>
      </c>
      <c r="J243" s="1" t="s">
        <v>950</v>
      </c>
      <c r="K243" s="2">
        <v>41609</v>
      </c>
      <c r="L243" s="3" t="str">
        <f>_xlfn.XLOOKUP(A:A,Gemini建議!A:A,Gemini建議!B:B,"")</f>
        <v/>
      </c>
      <c r="M243" s="1"/>
      <c r="N243" s="1"/>
    </row>
    <row r="244" spans="1:14" ht="30" hidden="1" customHeight="1">
      <c r="A244" s="2" t="str">
        <f>表格2[[#This Row],[站名]]&amp;表格2[[#This Row],[城市]]</f>
        <v>大內臺南市</v>
      </c>
      <c r="B244" s="1" t="s">
        <v>951</v>
      </c>
      <c r="C244" s="1" t="s">
        <v>952</v>
      </c>
      <c r="D244" s="1">
        <v>23.1188</v>
      </c>
      <c r="E244" s="1">
        <v>120.3608</v>
      </c>
      <c r="F244" s="1" t="s">
        <v>118</v>
      </c>
      <c r="G244" s="1" t="s">
        <v>2548</v>
      </c>
      <c r="H244" s="1" t="s">
        <v>926</v>
      </c>
      <c r="I244" s="1" t="s">
        <v>953</v>
      </c>
      <c r="J244" s="1" t="s">
        <v>954</v>
      </c>
      <c r="K244" s="2">
        <v>41487</v>
      </c>
      <c r="L244" s="3" t="str">
        <f>_xlfn.XLOOKUP(A:A,Gemini建議!A:A,Gemini建議!B:B,"")</f>
        <v/>
      </c>
      <c r="M244" s="1"/>
      <c r="N244" s="1"/>
    </row>
    <row r="245" spans="1:14" ht="30" customHeight="1">
      <c r="A245" s="2" t="str">
        <f>表格2[[#This Row],[站名]]&amp;表格2[[#This Row],[城市]]</f>
        <v>善化臺南市</v>
      </c>
      <c r="B245" s="1" t="s">
        <v>955</v>
      </c>
      <c r="C245" s="1" t="s">
        <v>956</v>
      </c>
      <c r="D245" s="1">
        <v>23.1129</v>
      </c>
      <c r="E245" s="1">
        <v>120.2972</v>
      </c>
      <c r="F245" s="1" t="s">
        <v>957</v>
      </c>
      <c r="G245" s="1" t="s">
        <v>2548</v>
      </c>
      <c r="H245" s="1" t="s">
        <v>926</v>
      </c>
      <c r="I245" s="1" t="s">
        <v>958</v>
      </c>
      <c r="J245" s="1" t="s">
        <v>959</v>
      </c>
      <c r="K245" s="2">
        <v>32423</v>
      </c>
      <c r="L245" s="3" t="str">
        <f>_xlfn.XLOOKUP(A:A,Gemini建議!A:A,Gemini建議!B:B,"")</f>
        <v>低海拔代表站</v>
      </c>
      <c r="M245" s="1"/>
      <c r="N245" s="1"/>
    </row>
    <row r="246" spans="1:14" ht="30" hidden="1" customHeight="1">
      <c r="A246" s="2" t="str">
        <f>表格2[[#This Row],[站名]]&amp;表格2[[#This Row],[城市]]</f>
        <v>崎頂臺南市</v>
      </c>
      <c r="B246" s="1" t="s">
        <v>960</v>
      </c>
      <c r="C246" s="1" t="s">
        <v>961</v>
      </c>
      <c r="D246" s="1">
        <v>22.959499999999998</v>
      </c>
      <c r="E246" s="1">
        <v>120.3693</v>
      </c>
      <c r="F246" s="1" t="s">
        <v>962</v>
      </c>
      <c r="G246" s="1" t="s">
        <v>2548</v>
      </c>
      <c r="H246" s="1" t="s">
        <v>926</v>
      </c>
      <c r="I246" s="1" t="s">
        <v>963</v>
      </c>
      <c r="J246" s="1" t="s">
        <v>964</v>
      </c>
      <c r="K246" s="2">
        <v>41382</v>
      </c>
      <c r="L246" s="3" t="str">
        <f>_xlfn.XLOOKUP(A:A,Gemini建議!A:A,Gemini建議!B:B,"")</f>
        <v/>
      </c>
      <c r="M246" s="1"/>
      <c r="N246" s="1"/>
    </row>
    <row r="247" spans="1:14" ht="30" hidden="1" customHeight="1">
      <c r="A247" s="2" t="str">
        <f>表格2[[#This Row],[站名]]&amp;表格2[[#This Row],[城市]]</f>
        <v>虎頭埤臺南市</v>
      </c>
      <c r="B247" s="1" t="s">
        <v>965</v>
      </c>
      <c r="C247" s="1" t="s">
        <v>966</v>
      </c>
      <c r="D247" s="1">
        <v>23.0214</v>
      </c>
      <c r="E247" s="1">
        <v>120.3479</v>
      </c>
      <c r="F247" s="1" t="s">
        <v>86</v>
      </c>
      <c r="G247" s="1" t="s">
        <v>2548</v>
      </c>
      <c r="H247" s="1" t="s">
        <v>926</v>
      </c>
      <c r="I247" s="1" t="s">
        <v>967</v>
      </c>
      <c r="J247" s="1" t="s">
        <v>968</v>
      </c>
      <c r="K247" s="2">
        <v>41487</v>
      </c>
      <c r="L247" s="3" t="str">
        <f>_xlfn.XLOOKUP(A:A,Gemini建議!A:A,Gemini建議!B:B,"")</f>
        <v/>
      </c>
      <c r="M247" s="1"/>
      <c r="N247" s="1"/>
    </row>
    <row r="248" spans="1:14" ht="30" hidden="1" customHeight="1">
      <c r="A248" s="2" t="str">
        <f>表格2[[#This Row],[站名]]&amp;表格2[[#This Row],[城市]]</f>
        <v>新市臺南市</v>
      </c>
      <c r="B248" s="1" t="s">
        <v>969</v>
      </c>
      <c r="C248" s="1" t="s">
        <v>970</v>
      </c>
      <c r="D248" s="1">
        <v>23.061599999999999</v>
      </c>
      <c r="E248" s="1">
        <v>120.29819999999999</v>
      </c>
      <c r="F248" s="1" t="s">
        <v>203</v>
      </c>
      <c r="G248" s="1" t="s">
        <v>2548</v>
      </c>
      <c r="H248" s="1" t="s">
        <v>926</v>
      </c>
      <c r="I248" s="1" t="s">
        <v>971</v>
      </c>
      <c r="J248" s="1" t="s">
        <v>972</v>
      </c>
      <c r="K248" s="2">
        <v>41487</v>
      </c>
      <c r="L248" s="3" t="str">
        <f>_xlfn.XLOOKUP(A:A,Gemini建議!A:A,Gemini建議!B:B,"")</f>
        <v/>
      </c>
      <c r="M248" s="1"/>
      <c r="N248" s="1"/>
    </row>
    <row r="249" spans="1:14" ht="30" hidden="1" customHeight="1">
      <c r="A249" s="2" t="str">
        <f>表格2[[#This Row],[站名]]&amp;表格2[[#This Row],[城市]]</f>
        <v>媽廟臺南市</v>
      </c>
      <c r="B249" s="1" t="s">
        <v>973</v>
      </c>
      <c r="C249" s="1" t="s">
        <v>974</v>
      </c>
      <c r="D249" s="1">
        <v>22.991700000000002</v>
      </c>
      <c r="E249" s="1">
        <v>120.29349999999999</v>
      </c>
      <c r="F249" s="1" t="s">
        <v>203</v>
      </c>
      <c r="G249" s="1" t="s">
        <v>2548</v>
      </c>
      <c r="H249" s="1" t="s">
        <v>926</v>
      </c>
      <c r="I249" s="1" t="s">
        <v>975</v>
      </c>
      <c r="J249" s="1" t="s">
        <v>976</v>
      </c>
      <c r="K249" s="2">
        <v>41609</v>
      </c>
      <c r="L249" s="3" t="str">
        <f>_xlfn.XLOOKUP(A:A,Gemini建議!A:A,Gemini建議!B:B,"")</f>
        <v/>
      </c>
      <c r="M249" s="1"/>
      <c r="N249" s="1"/>
    </row>
    <row r="250" spans="1:14" ht="30" customHeight="1">
      <c r="A250" s="2" t="str">
        <f>表格2[[#This Row],[站名]]&amp;表格2[[#This Row],[城市]]</f>
        <v>尾寮山屏東縣</v>
      </c>
      <c r="B250" s="1" t="s">
        <v>977</v>
      </c>
      <c r="C250" s="1" t="s">
        <v>978</v>
      </c>
      <c r="D250" s="1">
        <v>22.833100000000002</v>
      </c>
      <c r="E250" s="1">
        <v>120.68389999999999</v>
      </c>
      <c r="F250" s="1" t="s">
        <v>979</v>
      </c>
      <c r="G250" s="1" t="s">
        <v>2550</v>
      </c>
      <c r="H250" s="1" t="s">
        <v>980</v>
      </c>
      <c r="I250" s="1" t="s">
        <v>981</v>
      </c>
      <c r="J250" s="1" t="s">
        <v>982</v>
      </c>
      <c r="K250" s="2">
        <v>33625</v>
      </c>
      <c r="L250" s="3" t="str">
        <f>_xlfn.XLOOKUP(A:A,Gemini建議!A:A,Gemini建議!B:B,"")</f>
        <v>高海拔測站 (全)</v>
      </c>
      <c r="M250" s="1"/>
      <c r="N250" s="1"/>
    </row>
    <row r="251" spans="1:14" ht="30" customHeight="1">
      <c r="A251" s="2" t="str">
        <f>表格2[[#This Row],[站名]]&amp;表格2[[#This Row],[城市]]</f>
        <v>阿禮屏東縣</v>
      </c>
      <c r="B251" s="1" t="s">
        <v>983</v>
      </c>
      <c r="C251" s="1" t="s">
        <v>984</v>
      </c>
      <c r="D251" s="1">
        <v>22.742899999999999</v>
      </c>
      <c r="E251" s="1">
        <v>120.7437</v>
      </c>
      <c r="F251" s="1" t="s">
        <v>985</v>
      </c>
      <c r="G251" s="1" t="s">
        <v>2550</v>
      </c>
      <c r="H251" s="1" t="s">
        <v>980</v>
      </c>
      <c r="I251" s="1" t="s">
        <v>986</v>
      </c>
      <c r="J251" s="1" t="s">
        <v>987</v>
      </c>
      <c r="K251" s="2">
        <v>41487</v>
      </c>
      <c r="L251" s="3" t="str">
        <f>_xlfn.XLOOKUP(A:A,Gemini建議!A:A,Gemini建議!B:B,"")</f>
        <v>高海拔測站 (全)</v>
      </c>
      <c r="M251" s="1"/>
      <c r="N251" s="1"/>
    </row>
    <row r="252" spans="1:14" ht="30" customHeight="1">
      <c r="A252" s="2" t="str">
        <f>表格2[[#This Row],[站名]]&amp;表格2[[#This Row],[城市]]</f>
        <v>瑪家屏東縣</v>
      </c>
      <c r="B252" s="1" t="s">
        <v>988</v>
      </c>
      <c r="C252" s="1" t="s">
        <v>989</v>
      </c>
      <c r="D252" s="1">
        <v>22.6829</v>
      </c>
      <c r="E252" s="1">
        <v>120.6866</v>
      </c>
      <c r="F252" s="1" t="s">
        <v>990</v>
      </c>
      <c r="G252" s="1" t="s">
        <v>2550</v>
      </c>
      <c r="H252" s="1" t="s">
        <v>980</v>
      </c>
      <c r="I252" s="1" t="s">
        <v>991</v>
      </c>
      <c r="J252" s="1" t="s">
        <v>992</v>
      </c>
      <c r="K252" s="2">
        <v>41487</v>
      </c>
      <c r="L252" s="3" t="str">
        <f>_xlfn.XLOOKUP(A:A,Gemini建議!A:A,Gemini建議!B:B,"")</f>
        <v>高海拔測站 (全)</v>
      </c>
      <c r="M252" s="1"/>
      <c r="N252" s="1"/>
    </row>
    <row r="253" spans="1:14" ht="30" hidden="1" customHeight="1">
      <c r="A253" s="2" t="str">
        <f>表格2[[#This Row],[站名]]&amp;表格2[[#This Row],[城市]]</f>
        <v>三地門屏東縣</v>
      </c>
      <c r="B253" s="1" t="s">
        <v>993</v>
      </c>
      <c r="C253" s="1" t="s">
        <v>994</v>
      </c>
      <c r="D253" s="1">
        <v>22.709900000000001</v>
      </c>
      <c r="E253" s="1">
        <v>120.6399</v>
      </c>
      <c r="F253" s="1" t="s">
        <v>238</v>
      </c>
      <c r="G253" s="1" t="s">
        <v>2550</v>
      </c>
      <c r="H253" s="1" t="s">
        <v>980</v>
      </c>
      <c r="I253" s="1" t="s">
        <v>995</v>
      </c>
      <c r="J253" s="1" t="s">
        <v>996</v>
      </c>
      <c r="K253" s="2">
        <v>33625</v>
      </c>
      <c r="L253" s="3" t="str">
        <f>_xlfn.XLOOKUP(A:A,Gemini建議!A:A,Gemini建議!B:B,"")</f>
        <v/>
      </c>
      <c r="M253" s="1"/>
      <c r="N253" s="1"/>
    </row>
    <row r="254" spans="1:14" ht="30" hidden="1" customHeight="1">
      <c r="A254" s="2" t="str">
        <f>表格2[[#This Row],[站名]]&amp;表格2[[#This Row],[城市]]</f>
        <v>鹽埔屏東縣</v>
      </c>
      <c r="B254" s="1" t="s">
        <v>997</v>
      </c>
      <c r="C254" s="1" t="s">
        <v>998</v>
      </c>
      <c r="D254" s="1">
        <v>22.739599999999999</v>
      </c>
      <c r="E254" s="1">
        <v>120.5308</v>
      </c>
      <c r="F254" s="1" t="s">
        <v>653</v>
      </c>
      <c r="G254" s="1" t="s">
        <v>2550</v>
      </c>
      <c r="H254" s="1" t="s">
        <v>980</v>
      </c>
      <c r="I254" s="1" t="s">
        <v>999</v>
      </c>
      <c r="J254" s="1" t="s">
        <v>1000</v>
      </c>
      <c r="K254" s="2">
        <v>41609</v>
      </c>
      <c r="L254" s="3" t="str">
        <f>_xlfn.XLOOKUP(A:A,Gemini建議!A:A,Gemini建議!B:B,"")</f>
        <v/>
      </c>
      <c r="M254" s="1"/>
      <c r="N254" s="1"/>
    </row>
    <row r="255" spans="1:14" ht="30" hidden="1" customHeight="1">
      <c r="A255" s="2" t="str">
        <f>表格2[[#This Row],[站名]]&amp;表格2[[#This Row],[城市]]</f>
        <v>赤山屏東縣</v>
      </c>
      <c r="B255" s="1" t="s">
        <v>1001</v>
      </c>
      <c r="C255" s="1" t="s">
        <v>1002</v>
      </c>
      <c r="D255" s="1">
        <v>22.592300000000002</v>
      </c>
      <c r="E255" s="1">
        <v>120.6143</v>
      </c>
      <c r="F255" s="1" t="s">
        <v>107</v>
      </c>
      <c r="G255" s="1" t="s">
        <v>2550</v>
      </c>
      <c r="H255" s="1" t="s">
        <v>980</v>
      </c>
      <c r="I255" s="1" t="s">
        <v>1003</v>
      </c>
      <c r="J255" s="1" t="s">
        <v>1004</v>
      </c>
      <c r="K255" s="2">
        <v>41609</v>
      </c>
      <c r="L255" s="3" t="str">
        <f>_xlfn.XLOOKUP(A:A,Gemini建議!A:A,Gemini建議!B:B,"")</f>
        <v/>
      </c>
      <c r="M255" s="1"/>
      <c r="N255" s="1"/>
    </row>
    <row r="256" spans="1:14" ht="30" hidden="1" customHeight="1">
      <c r="A256" s="2" t="str">
        <f>表格2[[#This Row],[站名]]&amp;表格2[[#This Row],[城市]]</f>
        <v>潮州屏東縣</v>
      </c>
      <c r="B256" s="1" t="s">
        <v>1005</v>
      </c>
      <c r="C256" s="1" t="s">
        <v>1006</v>
      </c>
      <c r="D256" s="1">
        <v>22.534400000000002</v>
      </c>
      <c r="E256" s="1">
        <v>120.54</v>
      </c>
      <c r="F256" s="1" t="s">
        <v>198</v>
      </c>
      <c r="G256" s="1" t="s">
        <v>2550</v>
      </c>
      <c r="H256" s="1" t="s">
        <v>980</v>
      </c>
      <c r="I256" s="1" t="s">
        <v>1007</v>
      </c>
      <c r="J256" s="1" t="s">
        <v>996</v>
      </c>
      <c r="K256" s="2">
        <v>33625</v>
      </c>
      <c r="L256" s="3" t="str">
        <f>_xlfn.XLOOKUP(A:A,Gemini建議!A:A,Gemini建議!B:B,"")</f>
        <v/>
      </c>
      <c r="M256" s="1"/>
      <c r="N256" s="1"/>
    </row>
    <row r="257" spans="1:14" ht="30" hidden="1" customHeight="1">
      <c r="A257" s="2" t="str">
        <f>表格2[[#This Row],[站名]]&amp;表格2[[#This Row],[城市]]</f>
        <v>春日屏東縣</v>
      </c>
      <c r="B257" s="1" t="s">
        <v>1008</v>
      </c>
      <c r="C257" s="1" t="s">
        <v>1009</v>
      </c>
      <c r="D257" s="1">
        <v>22.3704</v>
      </c>
      <c r="E257" s="1">
        <v>120.6283</v>
      </c>
      <c r="F257" s="1" t="s">
        <v>155</v>
      </c>
      <c r="G257" s="1" t="s">
        <v>2550</v>
      </c>
      <c r="H257" s="1" t="s">
        <v>980</v>
      </c>
      <c r="I257" s="1" t="s">
        <v>1010</v>
      </c>
      <c r="J257" s="1" t="s">
        <v>1011</v>
      </c>
      <c r="K257" s="2">
        <v>41609</v>
      </c>
      <c r="L257" s="3" t="str">
        <f>_xlfn.XLOOKUP(A:A,Gemini建議!A:A,Gemini建議!B:B,"")</f>
        <v/>
      </c>
      <c r="M257" s="1"/>
      <c r="N257" s="1"/>
    </row>
    <row r="258" spans="1:14" ht="30" hidden="1" customHeight="1">
      <c r="A258" s="2" t="str">
        <f>表格2[[#This Row],[站名]]&amp;表格2[[#This Row],[城市]]</f>
        <v>琉球嶼屏東縣</v>
      </c>
      <c r="B258" s="1" t="s">
        <v>1012</v>
      </c>
      <c r="C258" s="1" t="s">
        <v>1013</v>
      </c>
      <c r="D258" s="1">
        <v>22.3322</v>
      </c>
      <c r="E258" s="1">
        <v>120.3622</v>
      </c>
      <c r="F258" s="1" t="s">
        <v>1014</v>
      </c>
      <c r="G258" s="1" t="s">
        <v>2550</v>
      </c>
      <c r="H258" s="1" t="s">
        <v>980</v>
      </c>
      <c r="I258" s="1" t="s">
        <v>1015</v>
      </c>
      <c r="J258" s="1" t="s">
        <v>1016</v>
      </c>
      <c r="K258" s="2">
        <v>35307</v>
      </c>
      <c r="L258" s="3" t="str">
        <f>_xlfn.XLOOKUP(A:A,Gemini建議!A:A,Gemini建議!B:B,"")</f>
        <v/>
      </c>
      <c r="M258" s="1"/>
      <c r="N258" s="1"/>
    </row>
    <row r="259" spans="1:14" ht="30" hidden="1" customHeight="1">
      <c r="A259" s="2" t="str">
        <f>表格2[[#This Row],[站名]]&amp;表格2[[#This Row],[城市]]</f>
        <v>檳榔屏東縣</v>
      </c>
      <c r="B259" s="1" t="s">
        <v>1017</v>
      </c>
      <c r="C259" s="1" t="s">
        <v>1018</v>
      </c>
      <c r="D259" s="1">
        <v>22.0761</v>
      </c>
      <c r="E259" s="1">
        <v>120.8368</v>
      </c>
      <c r="F259" s="1" t="s">
        <v>1019</v>
      </c>
      <c r="G259" s="1" t="s">
        <v>2550</v>
      </c>
      <c r="H259" s="1" t="s">
        <v>980</v>
      </c>
      <c r="I259" s="1" t="s">
        <v>1020</v>
      </c>
      <c r="J259" s="1" t="s">
        <v>1021</v>
      </c>
      <c r="K259" s="2">
        <v>35594</v>
      </c>
      <c r="L259" s="3" t="str">
        <f>_xlfn.XLOOKUP(A:A,Gemini建議!A:A,Gemini建議!B:B,"")</f>
        <v/>
      </c>
      <c r="M259" s="1"/>
      <c r="N259" s="1"/>
    </row>
    <row r="260" spans="1:14" ht="30" hidden="1" customHeight="1">
      <c r="A260" s="2" t="str">
        <f>表格2[[#This Row],[站名]]&amp;表格2[[#This Row],[城市]]</f>
        <v>車城屏東縣</v>
      </c>
      <c r="B260" s="1" t="s">
        <v>1022</v>
      </c>
      <c r="C260" s="1" t="s">
        <v>1023</v>
      </c>
      <c r="D260" s="1">
        <v>22.074400000000001</v>
      </c>
      <c r="E260" s="1">
        <v>120.7162</v>
      </c>
      <c r="F260" s="1" t="s">
        <v>1024</v>
      </c>
      <c r="G260" s="1" t="s">
        <v>2550</v>
      </c>
      <c r="H260" s="1" t="s">
        <v>980</v>
      </c>
      <c r="I260" s="1" t="s">
        <v>1025</v>
      </c>
      <c r="J260" s="1" t="s">
        <v>1026</v>
      </c>
      <c r="K260" s="2">
        <v>43797</v>
      </c>
      <c r="L260" s="3" t="str">
        <f>_xlfn.XLOOKUP(A:A,Gemini建議!A:A,Gemini建議!B:B,"")</f>
        <v/>
      </c>
      <c r="M260" s="1"/>
      <c r="N260" s="1"/>
    </row>
    <row r="261" spans="1:14" ht="30" hidden="1" customHeight="1">
      <c r="A261" s="2" t="str">
        <f>表格2[[#This Row],[站名]]&amp;表格2[[#This Row],[城市]]</f>
        <v>牡丹屏東縣</v>
      </c>
      <c r="B261" s="1" t="s">
        <v>1027</v>
      </c>
      <c r="C261" s="1" t="s">
        <v>1028</v>
      </c>
      <c r="D261" s="1">
        <v>22.13</v>
      </c>
      <c r="E261" s="1">
        <v>120.79259999999999</v>
      </c>
      <c r="F261" s="1" t="s">
        <v>501</v>
      </c>
      <c r="G261" s="1" t="s">
        <v>2550</v>
      </c>
      <c r="H261" s="1" t="s">
        <v>980</v>
      </c>
      <c r="I261" s="1" t="s">
        <v>1029</v>
      </c>
      <c r="J261" s="1" t="s">
        <v>1030</v>
      </c>
      <c r="K261" s="2">
        <v>43797</v>
      </c>
      <c r="L261" s="3" t="str">
        <f>_xlfn.XLOOKUP(A:A,Gemini建議!A:A,Gemini建議!B:B,"")</f>
        <v/>
      </c>
      <c r="M261" s="1"/>
      <c r="N261" s="1"/>
    </row>
    <row r="262" spans="1:14" ht="30" hidden="1" customHeight="1">
      <c r="A262" s="2" t="str">
        <f>表格2[[#This Row],[站名]]&amp;表格2[[#This Row],[城市]]</f>
        <v>貓鼻頭屏東縣</v>
      </c>
      <c r="B262" s="1" t="s">
        <v>1031</v>
      </c>
      <c r="C262" s="1" t="s">
        <v>1032</v>
      </c>
      <c r="D262" s="1">
        <v>21.921800000000001</v>
      </c>
      <c r="E262" s="1">
        <v>120.7358</v>
      </c>
      <c r="F262" s="1" t="s">
        <v>71</v>
      </c>
      <c r="G262" s="1" t="s">
        <v>2550</v>
      </c>
      <c r="H262" s="1" t="s">
        <v>980</v>
      </c>
      <c r="I262" s="1" t="s">
        <v>1033</v>
      </c>
      <c r="J262" s="1" t="s">
        <v>1034</v>
      </c>
      <c r="K262" s="2">
        <v>35582</v>
      </c>
      <c r="L262" s="3" t="str">
        <f>_xlfn.XLOOKUP(A:A,Gemini建議!A:A,Gemini建議!B:B,"")</f>
        <v/>
      </c>
      <c r="M262" s="1"/>
      <c r="N262" s="1"/>
    </row>
    <row r="263" spans="1:14" ht="30" customHeight="1">
      <c r="A263" s="2" t="str">
        <f>表格2[[#This Row],[站名]]&amp;表格2[[#This Row],[城市]]</f>
        <v>大漢山屏東縣</v>
      </c>
      <c r="B263" s="1" t="s">
        <v>1035</v>
      </c>
      <c r="C263" s="1" t="s">
        <v>1036</v>
      </c>
      <c r="D263" s="1">
        <v>22.4053</v>
      </c>
      <c r="E263" s="1">
        <v>120.75320000000001</v>
      </c>
      <c r="F263" s="1" t="s">
        <v>1037</v>
      </c>
      <c r="G263" s="1" t="s">
        <v>2550</v>
      </c>
      <c r="H263" s="1" t="s">
        <v>980</v>
      </c>
      <c r="I263" s="1" t="s">
        <v>1038</v>
      </c>
      <c r="J263" s="1" t="s">
        <v>1039</v>
      </c>
      <c r="K263" s="2">
        <v>43797</v>
      </c>
      <c r="L263" s="3" t="str">
        <f>_xlfn.XLOOKUP(A:A,Gemini建議!A:A,Gemini建議!B:B,"")</f>
        <v>高海拔測站 (全)</v>
      </c>
      <c r="M263" s="1"/>
      <c r="N263" s="1"/>
    </row>
    <row r="264" spans="1:14" ht="30" hidden="1" customHeight="1">
      <c r="A264" s="2" t="str">
        <f>表格2[[#This Row],[站名]]&amp;表格2[[#This Row],[城市]]</f>
        <v>高樹屏東縣</v>
      </c>
      <c r="B264" s="1" t="s">
        <v>1040</v>
      </c>
      <c r="C264" s="1" t="s">
        <v>1041</v>
      </c>
      <c r="D264" s="1">
        <v>22.8264</v>
      </c>
      <c r="E264" s="1">
        <v>120.60080000000001</v>
      </c>
      <c r="F264" s="1" t="s">
        <v>1042</v>
      </c>
      <c r="G264" s="1" t="s">
        <v>2550</v>
      </c>
      <c r="H264" s="1" t="s">
        <v>980</v>
      </c>
      <c r="I264" s="1" t="s">
        <v>1043</v>
      </c>
      <c r="J264" s="1"/>
      <c r="K264" s="2">
        <v>41439</v>
      </c>
      <c r="L264" s="3" t="str">
        <f>_xlfn.XLOOKUP(A:A,Gemini建議!A:A,Gemini建議!B:B,"")</f>
        <v/>
      </c>
      <c r="M264" s="1"/>
      <c r="N264" s="1"/>
    </row>
    <row r="265" spans="1:14" ht="30" hidden="1" customHeight="1">
      <c r="A265" s="2" t="str">
        <f>表格2[[#This Row],[站名]]&amp;表格2[[#This Row],[城市]]</f>
        <v>長治屏東縣</v>
      </c>
      <c r="B265" s="1" t="s">
        <v>1044</v>
      </c>
      <c r="C265" s="1" t="s">
        <v>1045</v>
      </c>
      <c r="D265" s="1">
        <v>22.693100000000001</v>
      </c>
      <c r="E265" s="1">
        <v>120.54259999999999</v>
      </c>
      <c r="F265" s="1" t="s">
        <v>1046</v>
      </c>
      <c r="G265" s="1" t="s">
        <v>2550</v>
      </c>
      <c r="H265" s="1" t="s">
        <v>980</v>
      </c>
      <c r="I265" s="1" t="s">
        <v>1047</v>
      </c>
      <c r="J265" s="1"/>
      <c r="K265" s="2">
        <v>41432</v>
      </c>
      <c r="L265" s="3" t="str">
        <f>_xlfn.XLOOKUP(A:A,Gemini建議!A:A,Gemini建議!B:B,"")</f>
        <v/>
      </c>
      <c r="M265" s="1"/>
      <c r="N265" s="1"/>
    </row>
    <row r="266" spans="1:14" ht="30" hidden="1" customHeight="1">
      <c r="A266" s="2" t="str">
        <f>表格2[[#This Row],[站名]]&amp;表格2[[#This Row],[城市]]</f>
        <v>九如屏東縣</v>
      </c>
      <c r="B266" s="1" t="s">
        <v>1048</v>
      </c>
      <c r="C266" s="1" t="s">
        <v>1049</v>
      </c>
      <c r="D266" s="1">
        <v>22.740500000000001</v>
      </c>
      <c r="E266" s="1">
        <v>120.4905</v>
      </c>
      <c r="F266" s="1" t="s">
        <v>55</v>
      </c>
      <c r="G266" s="1" t="s">
        <v>2550</v>
      </c>
      <c r="H266" s="1" t="s">
        <v>980</v>
      </c>
      <c r="I266" s="1" t="s">
        <v>1050</v>
      </c>
      <c r="J266" s="1"/>
      <c r="K266" s="2">
        <v>41432</v>
      </c>
      <c r="L266" s="3" t="str">
        <f>_xlfn.XLOOKUP(A:A,Gemini建議!A:A,Gemini建議!B:B,"")</f>
        <v/>
      </c>
      <c r="M266" s="1"/>
      <c r="N266" s="1"/>
    </row>
    <row r="267" spans="1:14" ht="30" hidden="1" customHeight="1">
      <c r="A267" s="2" t="str">
        <f>表格2[[#This Row],[站名]]&amp;表格2[[#This Row],[城市]]</f>
        <v>崁頂屏東縣</v>
      </c>
      <c r="B267" s="1" t="s">
        <v>1051</v>
      </c>
      <c r="C267" s="1" t="s">
        <v>1052</v>
      </c>
      <c r="D267" s="1">
        <v>22.514800000000001</v>
      </c>
      <c r="E267" s="1">
        <v>120.5069</v>
      </c>
      <c r="F267" s="1" t="s">
        <v>203</v>
      </c>
      <c r="G267" s="1" t="s">
        <v>2550</v>
      </c>
      <c r="H267" s="1" t="s">
        <v>980</v>
      </c>
      <c r="I267" s="1" t="s">
        <v>1053</v>
      </c>
      <c r="J267" s="1"/>
      <c r="K267" s="2">
        <v>41440</v>
      </c>
      <c r="L267" s="3" t="str">
        <f>_xlfn.XLOOKUP(A:A,Gemini建議!A:A,Gemini建議!B:B,"")</f>
        <v/>
      </c>
      <c r="M267" s="1"/>
      <c r="N267" s="1"/>
    </row>
    <row r="268" spans="1:14" ht="30" hidden="1" customHeight="1">
      <c r="A268" s="2" t="str">
        <f>表格2[[#This Row],[站名]]&amp;表格2[[#This Row],[城市]]</f>
        <v>佳冬屏東縣</v>
      </c>
      <c r="B268" s="1" t="s">
        <v>1054</v>
      </c>
      <c r="C268" s="1" t="s">
        <v>1055</v>
      </c>
      <c r="D268" s="1">
        <v>22.419499999999999</v>
      </c>
      <c r="E268" s="1">
        <v>120.55240000000001</v>
      </c>
      <c r="F268" s="1" t="s">
        <v>1056</v>
      </c>
      <c r="G268" s="1" t="s">
        <v>2550</v>
      </c>
      <c r="H268" s="1" t="s">
        <v>980</v>
      </c>
      <c r="I268" s="1" t="s">
        <v>1057</v>
      </c>
      <c r="J268" s="1"/>
      <c r="K268" s="2">
        <v>41436</v>
      </c>
      <c r="L268" s="3" t="str">
        <f>_xlfn.XLOOKUP(A:A,Gemini建議!A:A,Gemini建議!B:B,"")</f>
        <v/>
      </c>
      <c r="M268" s="1"/>
      <c r="N268" s="1"/>
    </row>
    <row r="269" spans="1:14" ht="30" hidden="1" customHeight="1">
      <c r="A269" s="2" t="str">
        <f>表格2[[#This Row],[站名]]&amp;表格2[[#This Row],[城市]]</f>
        <v>新埤屏東縣</v>
      </c>
      <c r="B269" s="1" t="s">
        <v>1058</v>
      </c>
      <c r="C269" s="1" t="s">
        <v>1059</v>
      </c>
      <c r="D269" s="1">
        <v>22.4679</v>
      </c>
      <c r="E269" s="1">
        <v>120.5829</v>
      </c>
      <c r="F269" s="1" t="s">
        <v>118</v>
      </c>
      <c r="G269" s="1" t="s">
        <v>2550</v>
      </c>
      <c r="H269" s="1" t="s">
        <v>980</v>
      </c>
      <c r="I269" s="1" t="s">
        <v>1060</v>
      </c>
      <c r="J269" s="1"/>
      <c r="K269" s="2">
        <v>41406</v>
      </c>
      <c r="L269" s="3" t="str">
        <f>_xlfn.XLOOKUP(A:A,Gemini建議!A:A,Gemini建議!B:B,"")</f>
        <v/>
      </c>
      <c r="M269" s="1"/>
      <c r="N269" s="1"/>
    </row>
    <row r="270" spans="1:14" ht="30" hidden="1" customHeight="1">
      <c r="A270" s="2" t="str">
        <f>表格2[[#This Row],[站名]]&amp;表格2[[#This Row],[城市]]</f>
        <v>新園屏東縣</v>
      </c>
      <c r="B270" s="1" t="s">
        <v>1061</v>
      </c>
      <c r="C270" s="1" t="s">
        <v>1062</v>
      </c>
      <c r="D270" s="1">
        <v>22.543399999999998</v>
      </c>
      <c r="E270" s="1">
        <v>120.4616</v>
      </c>
      <c r="F270" s="1" t="s">
        <v>175</v>
      </c>
      <c r="G270" s="1" t="s">
        <v>2550</v>
      </c>
      <c r="H270" s="1" t="s">
        <v>980</v>
      </c>
      <c r="I270" s="1" t="s">
        <v>1063</v>
      </c>
      <c r="J270" s="1"/>
      <c r="K270" s="2">
        <v>41437</v>
      </c>
      <c r="L270" s="3" t="str">
        <f>_xlfn.XLOOKUP(A:A,Gemini建議!A:A,Gemini建議!B:B,"")</f>
        <v/>
      </c>
      <c r="M270" s="1"/>
      <c r="N270" s="1"/>
    </row>
    <row r="271" spans="1:14" ht="30" hidden="1" customHeight="1">
      <c r="A271" s="2" t="str">
        <f>表格2[[#This Row],[站名]]&amp;表格2[[#This Row],[城市]]</f>
        <v>麟洛屏東縣</v>
      </c>
      <c r="B271" s="1" t="s">
        <v>1064</v>
      </c>
      <c r="C271" s="1" t="s">
        <v>1065</v>
      </c>
      <c r="D271" s="1">
        <v>22.6508</v>
      </c>
      <c r="E271" s="1">
        <v>120.52719999999999</v>
      </c>
      <c r="F271" s="1" t="s">
        <v>426</v>
      </c>
      <c r="G271" s="1" t="s">
        <v>2550</v>
      </c>
      <c r="H271" s="1" t="s">
        <v>980</v>
      </c>
      <c r="I271" s="1" t="s">
        <v>1066</v>
      </c>
      <c r="J271" s="1"/>
      <c r="K271" s="2">
        <v>41444</v>
      </c>
      <c r="L271" s="3" t="str">
        <f>_xlfn.XLOOKUP(A:A,Gemini建議!A:A,Gemini建議!B:B,"")</f>
        <v/>
      </c>
      <c r="M271" s="1"/>
      <c r="N271" s="1"/>
    </row>
    <row r="272" spans="1:14" ht="30" hidden="1" customHeight="1">
      <c r="A272" s="2" t="str">
        <f>表格2[[#This Row],[站名]]&amp;表格2[[#This Row],[城市]]</f>
        <v>南州屏東縣</v>
      </c>
      <c r="B272" s="1" t="s">
        <v>1067</v>
      </c>
      <c r="C272" s="1" t="s">
        <v>1068</v>
      </c>
      <c r="D272" s="1">
        <v>22.485900000000001</v>
      </c>
      <c r="E272" s="1">
        <v>120.5027</v>
      </c>
      <c r="F272" s="1" t="s">
        <v>817</v>
      </c>
      <c r="G272" s="1" t="s">
        <v>2550</v>
      </c>
      <c r="H272" s="1" t="s">
        <v>980</v>
      </c>
      <c r="I272" s="1" t="s">
        <v>1069</v>
      </c>
      <c r="J272" s="1"/>
      <c r="K272" s="2">
        <v>41437</v>
      </c>
      <c r="L272" s="3" t="str">
        <f>_xlfn.XLOOKUP(A:A,Gemini建議!A:A,Gemini建議!B:B,"")</f>
        <v/>
      </c>
      <c r="M272" s="1"/>
      <c r="N272" s="1"/>
    </row>
    <row r="273" spans="1:14" ht="30" customHeight="1">
      <c r="A273" s="2" t="str">
        <f>表格2[[#This Row],[站名]]&amp;表格2[[#This Row],[城市]]</f>
        <v>里港屏東縣</v>
      </c>
      <c r="B273" s="1" t="s">
        <v>1070</v>
      </c>
      <c r="C273" s="1" t="s">
        <v>1071</v>
      </c>
      <c r="D273" s="1">
        <v>22.779199999999999</v>
      </c>
      <c r="E273" s="1">
        <v>120.49460000000001</v>
      </c>
      <c r="F273" s="1" t="s">
        <v>248</v>
      </c>
      <c r="G273" s="1" t="s">
        <v>2550</v>
      </c>
      <c r="H273" s="1" t="s">
        <v>980</v>
      </c>
      <c r="I273" s="1" t="s">
        <v>1072</v>
      </c>
      <c r="J273" s="1"/>
      <c r="K273" s="2">
        <v>41443</v>
      </c>
      <c r="L273" s="3" t="str">
        <f>_xlfn.XLOOKUP(A:A,Gemini建議!A:A,Gemini建議!B:B,"")</f>
        <v>低海拔代表站</v>
      </c>
      <c r="M273" s="1"/>
      <c r="N273" s="1"/>
    </row>
    <row r="274" spans="1:14" ht="30" customHeight="1">
      <c r="A274" s="2" t="str">
        <f>表格2[[#This Row],[站名]]&amp;表格2[[#This Row],[城市]]</f>
        <v>舊泰武屏東縣</v>
      </c>
      <c r="B274" s="1" t="s">
        <v>1073</v>
      </c>
      <c r="C274" s="1" t="s">
        <v>1074</v>
      </c>
      <c r="D274" s="1">
        <v>22.588200000000001</v>
      </c>
      <c r="E274" s="1">
        <v>120.6649</v>
      </c>
      <c r="F274" s="1" t="s">
        <v>1075</v>
      </c>
      <c r="G274" s="1" t="s">
        <v>2550</v>
      </c>
      <c r="H274" s="1" t="s">
        <v>980</v>
      </c>
      <c r="I274" s="1" t="s">
        <v>1076</v>
      </c>
      <c r="J274" s="1"/>
      <c r="K274" s="2">
        <v>41556</v>
      </c>
      <c r="L274" s="3" t="str">
        <f>_xlfn.XLOOKUP(A:A,Gemini建議!A:A,Gemini建議!B:B,"")</f>
        <v>高海拔測站 (全)</v>
      </c>
      <c r="M274" s="1"/>
      <c r="N274" s="1"/>
    </row>
    <row r="275" spans="1:14" ht="30" hidden="1" customHeight="1">
      <c r="A275" s="2" t="str">
        <f>表格2[[#This Row],[站名]]&amp;表格2[[#This Row],[城市]]</f>
        <v>墾雷屏東縣</v>
      </c>
      <c r="B275" s="1" t="s">
        <v>1077</v>
      </c>
      <c r="C275" s="1" t="s">
        <v>1078</v>
      </c>
      <c r="D275" s="1">
        <v>21.9008</v>
      </c>
      <c r="E275" s="1">
        <v>120.8553</v>
      </c>
      <c r="F275" s="1" t="s">
        <v>138</v>
      </c>
      <c r="G275" s="1" t="s">
        <v>2550</v>
      </c>
      <c r="H275" s="1" t="s">
        <v>980</v>
      </c>
      <c r="I275" s="1" t="s">
        <v>1079</v>
      </c>
      <c r="J275" s="1" t="s">
        <v>1080</v>
      </c>
      <c r="K275" s="2">
        <v>42366</v>
      </c>
      <c r="L275" s="3" t="str">
        <f>_xlfn.XLOOKUP(A:A,Gemini建議!A:A,Gemini建議!B:B,"")</f>
        <v/>
      </c>
      <c r="M275" s="1"/>
      <c r="N275" s="1"/>
    </row>
    <row r="276" spans="1:14" ht="30" hidden="1" customHeight="1">
      <c r="A276" s="2" t="str">
        <f>表格2[[#This Row],[站名]]&amp;表格2[[#This Row],[城市]]</f>
        <v>東港屏東縣</v>
      </c>
      <c r="B276" s="1" t="s">
        <v>1081</v>
      </c>
      <c r="C276" s="1" t="s">
        <v>1082</v>
      </c>
      <c r="D276" s="1">
        <v>22.462499999999999</v>
      </c>
      <c r="E276" s="1">
        <v>120.44070000000001</v>
      </c>
      <c r="F276" s="1" t="s">
        <v>190</v>
      </c>
      <c r="G276" s="1" t="s">
        <v>2550</v>
      </c>
      <c r="H276" s="1" t="s">
        <v>980</v>
      </c>
      <c r="I276" s="1" t="s">
        <v>1083</v>
      </c>
      <c r="J276" s="1"/>
      <c r="K276" s="2">
        <v>43323</v>
      </c>
      <c r="L276" s="3" t="str">
        <f>_xlfn.XLOOKUP(A:A,Gemini建議!A:A,Gemini建議!B:B,"")</f>
        <v/>
      </c>
      <c r="M276" s="1"/>
      <c r="N276" s="1"/>
    </row>
    <row r="277" spans="1:14" ht="30" hidden="1" customHeight="1">
      <c r="A277" s="2" t="str">
        <f>表格2[[#This Row],[站名]]&amp;表格2[[#This Row],[城市]]</f>
        <v>竹田屏東縣</v>
      </c>
      <c r="B277" s="1" t="s">
        <v>1084</v>
      </c>
      <c r="C277" s="1" t="s">
        <v>1085</v>
      </c>
      <c r="D277" s="1">
        <v>22.584900000000001</v>
      </c>
      <c r="E277" s="1">
        <v>120.54340000000001</v>
      </c>
      <c r="F277" s="1" t="s">
        <v>646</v>
      </c>
      <c r="G277" s="1" t="s">
        <v>2550</v>
      </c>
      <c r="H277" s="1" t="s">
        <v>980</v>
      </c>
      <c r="I277" s="1" t="s">
        <v>1086</v>
      </c>
      <c r="J277" s="1"/>
      <c r="K277" s="2">
        <v>43323</v>
      </c>
      <c r="L277" s="3" t="str">
        <f>_xlfn.XLOOKUP(A:A,Gemini建議!A:A,Gemini建議!B:B,"")</f>
        <v/>
      </c>
      <c r="M277" s="1"/>
      <c r="N277" s="1"/>
    </row>
    <row r="278" spans="1:14" ht="30" hidden="1" customHeight="1">
      <c r="A278" s="2" t="str">
        <f>表格2[[#This Row],[站名]]&amp;表格2[[#This Row],[城市]]</f>
        <v>枋寮屏東縣</v>
      </c>
      <c r="B278" s="1" t="s">
        <v>1087</v>
      </c>
      <c r="C278" s="1" t="s">
        <v>1088</v>
      </c>
      <c r="D278" s="1">
        <v>22.367699999999999</v>
      </c>
      <c r="E278" s="1">
        <v>120.59059999999999</v>
      </c>
      <c r="F278" s="1" t="s">
        <v>103</v>
      </c>
      <c r="G278" s="1" t="s">
        <v>2550</v>
      </c>
      <c r="H278" s="1" t="s">
        <v>980</v>
      </c>
      <c r="I278" s="1" t="s">
        <v>1089</v>
      </c>
      <c r="J278" s="1"/>
      <c r="K278" s="2">
        <v>43797</v>
      </c>
      <c r="L278" s="3" t="str">
        <f>_xlfn.XLOOKUP(A:A,Gemini建議!A:A,Gemini建議!B:B,"")</f>
        <v/>
      </c>
      <c r="M278" s="1"/>
      <c r="N278" s="1"/>
    </row>
    <row r="279" spans="1:14" ht="30" hidden="1" customHeight="1">
      <c r="A279" s="2" t="str">
        <f>表格2[[#This Row],[站名]]&amp;表格2[[#This Row],[城市]]</f>
        <v>楓港屏東縣</v>
      </c>
      <c r="B279" s="1" t="s">
        <v>1090</v>
      </c>
      <c r="C279" s="1" t="s">
        <v>1091</v>
      </c>
      <c r="D279" s="1">
        <v>22.190100000000001</v>
      </c>
      <c r="E279" s="1">
        <v>120.6922</v>
      </c>
      <c r="F279" s="1" t="s">
        <v>162</v>
      </c>
      <c r="G279" s="1" t="s">
        <v>2550</v>
      </c>
      <c r="H279" s="1" t="s">
        <v>980</v>
      </c>
      <c r="I279" s="1" t="s">
        <v>1092</v>
      </c>
      <c r="J279" s="1"/>
      <c r="K279" s="2">
        <v>43797</v>
      </c>
      <c r="L279" s="3" t="str">
        <f>_xlfn.XLOOKUP(A:A,Gemini建議!A:A,Gemini建議!B:B,"")</f>
        <v/>
      </c>
      <c r="M279" s="1"/>
      <c r="N279" s="1"/>
    </row>
    <row r="280" spans="1:14" ht="30" hidden="1" customHeight="1">
      <c r="A280" s="2" t="str">
        <f>表格2[[#This Row],[站名]]&amp;表格2[[#This Row],[城市]]</f>
        <v>佳樂水屏東縣</v>
      </c>
      <c r="B280" s="1" t="s">
        <v>1093</v>
      </c>
      <c r="C280" s="1" t="s">
        <v>1094</v>
      </c>
      <c r="D280" s="1">
        <v>21.993600000000001</v>
      </c>
      <c r="E280" s="1">
        <v>120.8616</v>
      </c>
      <c r="F280" s="1" t="s">
        <v>186</v>
      </c>
      <c r="G280" s="1" t="s">
        <v>2550</v>
      </c>
      <c r="H280" s="1" t="s">
        <v>980</v>
      </c>
      <c r="I280" s="1" t="s">
        <v>1095</v>
      </c>
      <c r="J280" s="1"/>
      <c r="K280" s="2">
        <v>43797</v>
      </c>
      <c r="L280" s="3" t="str">
        <f>_xlfn.XLOOKUP(A:A,Gemini建議!A:A,Gemini建議!B:B,"")</f>
        <v/>
      </c>
      <c r="M280" s="1"/>
      <c r="N280" s="1"/>
    </row>
    <row r="281" spans="1:14" ht="30" hidden="1" customHeight="1">
      <c r="A281" s="2" t="str">
        <f>表格2[[#This Row],[站名]]&amp;表格2[[#This Row],[城市]]</f>
        <v>墾丁屏東縣</v>
      </c>
      <c r="B281" s="1" t="s">
        <v>1096</v>
      </c>
      <c r="C281" s="1" t="s">
        <v>1097</v>
      </c>
      <c r="D281" s="1">
        <v>21.966799999999999</v>
      </c>
      <c r="E281" s="1">
        <v>120.8103</v>
      </c>
      <c r="F281" s="1" t="s">
        <v>1098</v>
      </c>
      <c r="G281" s="1" t="s">
        <v>2550</v>
      </c>
      <c r="H281" s="1" t="s">
        <v>980</v>
      </c>
      <c r="I281" s="1" t="s">
        <v>1099</v>
      </c>
      <c r="J281" s="1"/>
      <c r="K281" s="2">
        <v>43797</v>
      </c>
      <c r="L281" s="3" t="str">
        <f>_xlfn.XLOOKUP(A:A,Gemini建議!A:A,Gemini建議!B:B,"")</f>
        <v/>
      </c>
      <c r="M281" s="1"/>
      <c r="N281" s="1"/>
    </row>
    <row r="282" spans="1:14" ht="30" hidden="1" customHeight="1">
      <c r="A282" s="2" t="str">
        <f>表格2[[#This Row],[站名]]&amp;表格2[[#This Row],[城市]]</f>
        <v>枋山屏東縣</v>
      </c>
      <c r="B282" s="1" t="s">
        <v>1100</v>
      </c>
      <c r="C282" s="1" t="s">
        <v>1101</v>
      </c>
      <c r="D282" s="1">
        <v>22.2468</v>
      </c>
      <c r="E282" s="1">
        <v>120.6611</v>
      </c>
      <c r="F282" s="1" t="s">
        <v>252</v>
      </c>
      <c r="G282" s="1" t="s">
        <v>2550</v>
      </c>
      <c r="H282" s="1" t="s">
        <v>980</v>
      </c>
      <c r="I282" s="1" t="s">
        <v>1102</v>
      </c>
      <c r="J282" s="1"/>
      <c r="K282" s="2">
        <v>43797</v>
      </c>
      <c r="L282" s="3" t="str">
        <f>_xlfn.XLOOKUP(A:A,Gemini建議!A:A,Gemini建議!B:B,"")</f>
        <v/>
      </c>
      <c r="M282" s="1"/>
      <c r="N282" s="1"/>
    </row>
    <row r="283" spans="1:14" ht="30" hidden="1" customHeight="1">
      <c r="A283" s="2" t="str">
        <f>表格2[[#This Row],[站名]]&amp;表格2[[#This Row],[城市]]</f>
        <v>龍磐屏東縣</v>
      </c>
      <c r="B283" s="1" t="s">
        <v>1103</v>
      </c>
      <c r="C283" s="1" t="s">
        <v>1104</v>
      </c>
      <c r="D283" s="1">
        <v>21.931699999999999</v>
      </c>
      <c r="E283" s="1">
        <v>120.8389</v>
      </c>
      <c r="F283" s="1" t="s">
        <v>827</v>
      </c>
      <c r="G283" s="1" t="s">
        <v>2550</v>
      </c>
      <c r="H283" s="1" t="s">
        <v>980</v>
      </c>
      <c r="I283" s="1" t="s">
        <v>1105</v>
      </c>
      <c r="J283" s="1"/>
      <c r="K283" s="2">
        <v>43930</v>
      </c>
      <c r="L283" s="3" t="str">
        <f>_xlfn.XLOOKUP(A:A,Gemini建議!A:A,Gemini建議!B:B,"")</f>
        <v/>
      </c>
      <c r="M283" s="1"/>
      <c r="N283" s="1"/>
    </row>
    <row r="284" spans="1:14" ht="30" hidden="1" customHeight="1">
      <c r="A284" s="2" t="str">
        <f>表格2[[#This Row],[站名]]&amp;表格2[[#This Row],[城市]]</f>
        <v>旭海屏東縣</v>
      </c>
      <c r="B284" s="1" t="s">
        <v>1106</v>
      </c>
      <c r="C284" s="1" t="s">
        <v>1107</v>
      </c>
      <c r="D284" s="1">
        <v>22.205400000000001</v>
      </c>
      <c r="E284" s="1">
        <v>120.88760000000001</v>
      </c>
      <c r="F284" s="1" t="s">
        <v>1108</v>
      </c>
      <c r="G284" s="1" t="s">
        <v>2550</v>
      </c>
      <c r="H284" s="1" t="s">
        <v>980</v>
      </c>
      <c r="I284" s="1" t="s">
        <v>1109</v>
      </c>
      <c r="J284" s="1"/>
      <c r="K284" s="2">
        <v>43797</v>
      </c>
      <c r="L284" s="3" t="str">
        <f>_xlfn.XLOOKUP(A:A,Gemini建議!A:A,Gemini建議!B:B,"")</f>
        <v/>
      </c>
      <c r="M284" s="1"/>
      <c r="N284" s="1"/>
    </row>
    <row r="285" spans="1:14" ht="30" hidden="1" customHeight="1">
      <c r="A285" s="2" t="str">
        <f>表格2[[#This Row],[站名]]&amp;表格2[[#This Row],[城市]]</f>
        <v>大坪頂屏東縣</v>
      </c>
      <c r="B285" s="1" t="s">
        <v>1110</v>
      </c>
      <c r="C285" s="1" t="s">
        <v>1111</v>
      </c>
      <c r="D285" s="1">
        <v>22.0246</v>
      </c>
      <c r="E285" s="1">
        <v>120.6936</v>
      </c>
      <c r="F285" s="1" t="s">
        <v>1112</v>
      </c>
      <c r="G285" s="1" t="s">
        <v>2550</v>
      </c>
      <c r="H285" s="1" t="s">
        <v>980</v>
      </c>
      <c r="I285" s="1" t="s">
        <v>1113</v>
      </c>
      <c r="J285" s="1"/>
      <c r="K285" s="2">
        <v>43930</v>
      </c>
      <c r="L285" s="3" t="str">
        <f>_xlfn.XLOOKUP(A:A,Gemini建議!A:A,Gemini建議!B:B,"")</f>
        <v/>
      </c>
      <c r="M285" s="1"/>
      <c r="N285" s="1"/>
    </row>
    <row r="286" spans="1:14" ht="30" hidden="1" customHeight="1">
      <c r="A286" s="2" t="str">
        <f>表格2[[#This Row],[站名]]&amp;表格2[[#This Row],[城市]]</f>
        <v>獅子屏東縣</v>
      </c>
      <c r="B286" s="1" t="s">
        <v>1114</v>
      </c>
      <c r="C286" s="1" t="s">
        <v>1115</v>
      </c>
      <c r="D286" s="1">
        <v>22.202300000000001</v>
      </c>
      <c r="E286" s="1">
        <v>120.7052</v>
      </c>
      <c r="F286" s="1" t="s">
        <v>248</v>
      </c>
      <c r="G286" s="1" t="s">
        <v>2550</v>
      </c>
      <c r="H286" s="1" t="s">
        <v>980</v>
      </c>
      <c r="I286" s="1" t="s">
        <v>1116</v>
      </c>
      <c r="J286" s="1" t="s">
        <v>1117</v>
      </c>
      <c r="K286" s="2">
        <v>45677</v>
      </c>
      <c r="L286" s="3" t="str">
        <f>_xlfn.XLOOKUP(A:A,Gemini建議!A:A,Gemini建議!B:B,"")</f>
        <v/>
      </c>
      <c r="M286" s="1"/>
      <c r="N286" s="1"/>
    </row>
    <row r="287" spans="1:14" ht="30" customHeight="1">
      <c r="A287" s="2" t="str">
        <f>表格2[[#This Row],[站名]]&amp;表格2[[#This Row],[城市]]</f>
        <v>四林格山屏東縣</v>
      </c>
      <c r="B287" s="1" t="s">
        <v>1118</v>
      </c>
      <c r="C287" s="1" t="s">
        <v>1119</v>
      </c>
      <c r="D287" s="1">
        <v>22.077000000000002</v>
      </c>
      <c r="E287" s="1">
        <v>120.80240000000001</v>
      </c>
      <c r="F287" s="1" t="s">
        <v>1120</v>
      </c>
      <c r="G287" s="1" t="s">
        <v>2550</v>
      </c>
      <c r="H287" s="1" t="s">
        <v>980</v>
      </c>
      <c r="I287" s="1" t="s">
        <v>1121</v>
      </c>
      <c r="J287" s="1"/>
      <c r="K287" s="2">
        <v>43930</v>
      </c>
      <c r="L287" s="3" t="str">
        <f>_xlfn.XLOOKUP(A:A,Gemini建議!A:A,Gemini建議!B:B,"")</f>
        <v>高海拔測站 (全)</v>
      </c>
      <c r="M287" s="1"/>
      <c r="N287" s="1"/>
    </row>
    <row r="288" spans="1:14" ht="30" hidden="1" customHeight="1">
      <c r="A288" s="2" t="str">
        <f>表格2[[#This Row],[站名]]&amp;表格2[[#This Row],[城市]]</f>
        <v>南仁湖屏東縣</v>
      </c>
      <c r="B288" s="1" t="s">
        <v>1122</v>
      </c>
      <c r="C288" s="1" t="s">
        <v>1123</v>
      </c>
      <c r="D288" s="1">
        <v>22.084700000000002</v>
      </c>
      <c r="E288" s="1">
        <v>120.8634</v>
      </c>
      <c r="F288" s="1" t="s">
        <v>1124</v>
      </c>
      <c r="G288" s="1" t="s">
        <v>2550</v>
      </c>
      <c r="H288" s="1" t="s">
        <v>980</v>
      </c>
      <c r="I288" s="1" t="s">
        <v>1125</v>
      </c>
      <c r="J288" s="1"/>
      <c r="K288" s="2">
        <v>43930</v>
      </c>
      <c r="L288" s="3" t="str">
        <f>_xlfn.XLOOKUP(A:A,Gemini建議!A:A,Gemini建議!B:B,"")</f>
        <v/>
      </c>
      <c r="M288" s="1"/>
      <c r="N288" s="1"/>
    </row>
    <row r="289" spans="1:14" ht="30" hidden="1" customHeight="1">
      <c r="A289" s="2" t="str">
        <f>表格2[[#This Row],[站名]]&amp;表格2[[#This Row],[城市]]</f>
        <v>保力屏東縣</v>
      </c>
      <c r="B289" s="1" t="s">
        <v>1126</v>
      </c>
      <c r="C289" s="1" t="s">
        <v>1127</v>
      </c>
      <c r="D289" s="1">
        <v>22.071100000000001</v>
      </c>
      <c r="E289" s="1">
        <v>120.7641</v>
      </c>
      <c r="F289" s="1" t="s">
        <v>1128</v>
      </c>
      <c r="G289" s="1" t="s">
        <v>2550</v>
      </c>
      <c r="H289" s="1" t="s">
        <v>980</v>
      </c>
      <c r="I289" s="1" t="s">
        <v>1129</v>
      </c>
      <c r="J289" s="1"/>
      <c r="K289" s="2">
        <v>43930</v>
      </c>
      <c r="L289" s="3" t="str">
        <f>_xlfn.XLOOKUP(A:A,Gemini建議!A:A,Gemini建議!B:B,"")</f>
        <v/>
      </c>
      <c r="M289" s="1"/>
      <c r="N289" s="1"/>
    </row>
    <row r="290" spans="1:14" ht="30" hidden="1" customHeight="1">
      <c r="A290" s="2" t="str">
        <f>表格2[[#This Row],[站名]]&amp;表格2[[#This Row],[城市]]</f>
        <v>滿州屏東縣</v>
      </c>
      <c r="B290" s="1" t="s">
        <v>1130</v>
      </c>
      <c r="C290" s="1" t="s">
        <v>1131</v>
      </c>
      <c r="D290" s="1">
        <v>22.0244</v>
      </c>
      <c r="E290" s="1">
        <v>120.8399</v>
      </c>
      <c r="F290" s="1" t="s">
        <v>248</v>
      </c>
      <c r="G290" s="1" t="s">
        <v>2550</v>
      </c>
      <c r="H290" s="1" t="s">
        <v>980</v>
      </c>
      <c r="I290" s="1" t="s">
        <v>1132</v>
      </c>
      <c r="J290" s="1"/>
      <c r="K290" s="2">
        <v>43930</v>
      </c>
      <c r="L290" s="3" t="str">
        <f>_xlfn.XLOOKUP(A:A,Gemini建議!A:A,Gemini建議!B:B,"")</f>
        <v/>
      </c>
      <c r="M290" s="1"/>
      <c r="N290" s="1"/>
    </row>
    <row r="291" spans="1:14" ht="30" hidden="1" customHeight="1">
      <c r="A291" s="2" t="str">
        <f>表格2[[#This Row],[站名]]&amp;表格2[[#This Row],[城市]]</f>
        <v>九棚屏東縣</v>
      </c>
      <c r="B291" s="1" t="s">
        <v>1133</v>
      </c>
      <c r="C291" s="1" t="s">
        <v>1134</v>
      </c>
      <c r="D291" s="1">
        <v>22.141999999999999</v>
      </c>
      <c r="E291" s="1">
        <v>120.88930000000001</v>
      </c>
      <c r="F291" s="1" t="s">
        <v>527</v>
      </c>
      <c r="G291" s="1" t="s">
        <v>2550</v>
      </c>
      <c r="H291" s="1" t="s">
        <v>980</v>
      </c>
      <c r="I291" s="1" t="s">
        <v>1135</v>
      </c>
      <c r="J291" s="1"/>
      <c r="K291" s="2">
        <v>43930</v>
      </c>
      <c r="L291" s="3" t="str">
        <f>_xlfn.XLOOKUP(A:A,Gemini建議!A:A,Gemini建議!B:B,"")</f>
        <v/>
      </c>
      <c r="M291" s="1"/>
      <c r="N291" s="1"/>
    </row>
    <row r="292" spans="1:14" ht="30" hidden="1" customHeight="1">
      <c r="A292" s="2" t="str">
        <f>表格2[[#This Row],[站名]]&amp;表格2[[#This Row],[城市]]</f>
        <v>丹路屏東縣</v>
      </c>
      <c r="B292" s="1" t="s">
        <v>1136</v>
      </c>
      <c r="C292" s="1" t="s">
        <v>1137</v>
      </c>
      <c r="D292" s="1">
        <v>22.204499999999999</v>
      </c>
      <c r="E292" s="1">
        <v>120.751</v>
      </c>
      <c r="F292" s="1" t="s">
        <v>1138</v>
      </c>
      <c r="G292" s="1" t="s">
        <v>2550</v>
      </c>
      <c r="H292" s="1" t="s">
        <v>980</v>
      </c>
      <c r="I292" s="1" t="s">
        <v>1139</v>
      </c>
      <c r="J292" s="1"/>
      <c r="K292" s="2">
        <v>43930</v>
      </c>
      <c r="L292" s="3" t="str">
        <f>_xlfn.XLOOKUP(A:A,Gemini建議!A:A,Gemini建議!B:B,"")</f>
        <v/>
      </c>
      <c r="M292" s="1"/>
      <c r="N292" s="1"/>
    </row>
    <row r="293" spans="1:14" ht="30" hidden="1" customHeight="1">
      <c r="A293" s="2" t="str">
        <f>表格2[[#This Row],[站名]]&amp;表格2[[#This Row],[城市]]</f>
        <v>內獅屏東縣</v>
      </c>
      <c r="B293" s="1" t="s">
        <v>1140</v>
      </c>
      <c r="C293" s="1" t="s">
        <v>1141</v>
      </c>
      <c r="D293" s="1">
        <v>22.305099999999999</v>
      </c>
      <c r="E293" s="1">
        <v>120.643</v>
      </c>
      <c r="F293" s="1" t="s">
        <v>94</v>
      </c>
      <c r="G293" s="1" t="s">
        <v>2550</v>
      </c>
      <c r="H293" s="1" t="s">
        <v>980</v>
      </c>
      <c r="I293" s="1" t="s">
        <v>1142</v>
      </c>
      <c r="J293" s="1"/>
      <c r="K293" s="2">
        <v>43930</v>
      </c>
      <c r="L293" s="3" t="str">
        <f>_xlfn.XLOOKUP(A:A,Gemini建議!A:A,Gemini建議!B:B,"")</f>
        <v/>
      </c>
      <c r="M293" s="1"/>
      <c r="N293" s="1"/>
    </row>
    <row r="294" spans="1:14" ht="30" customHeight="1">
      <c r="A294" s="2" t="str">
        <f>表格2[[#This Row],[站名]]&amp;表格2[[#This Row],[城市]]</f>
        <v>白鷺屏東縣</v>
      </c>
      <c r="B294" s="1" t="s">
        <v>1143</v>
      </c>
      <c r="C294" s="1" t="s">
        <v>1144</v>
      </c>
      <c r="D294" s="1">
        <v>22.4543</v>
      </c>
      <c r="E294" s="1">
        <v>120.6662</v>
      </c>
      <c r="F294" s="1" t="s">
        <v>1145</v>
      </c>
      <c r="G294" s="1" t="s">
        <v>2550</v>
      </c>
      <c r="H294" s="1" t="s">
        <v>980</v>
      </c>
      <c r="I294" s="1" t="s">
        <v>1146</v>
      </c>
      <c r="J294" s="1"/>
      <c r="K294" s="2">
        <v>43930</v>
      </c>
      <c r="L294" s="3" t="str">
        <f>_xlfn.XLOOKUP(A:A,Gemini建議!A:A,Gemini建議!B:B,"")</f>
        <v>高海拔測站 (全)</v>
      </c>
      <c r="M294" s="1"/>
      <c r="N294" s="1"/>
    </row>
    <row r="295" spans="1:14" ht="30" hidden="1" customHeight="1">
      <c r="A295" s="2" t="str">
        <f>表格2[[#This Row],[站名]]&amp;表格2[[#This Row],[城市]]</f>
        <v>高士屏東縣</v>
      </c>
      <c r="B295" s="1" t="s">
        <v>1147</v>
      </c>
      <c r="C295" s="1" t="s">
        <v>1148</v>
      </c>
      <c r="D295" s="1">
        <v>22.1218</v>
      </c>
      <c r="E295" s="1">
        <v>120.8368</v>
      </c>
      <c r="F295" s="1" t="s">
        <v>1149</v>
      </c>
      <c r="G295" s="1" t="s">
        <v>2550</v>
      </c>
      <c r="H295" s="1" t="s">
        <v>980</v>
      </c>
      <c r="I295" s="1" t="s">
        <v>1150</v>
      </c>
      <c r="J295" s="1"/>
      <c r="K295" s="2">
        <v>43930</v>
      </c>
      <c r="L295" s="3" t="str">
        <f>_xlfn.XLOOKUP(A:A,Gemini建議!A:A,Gemini建議!B:B,"")</f>
        <v/>
      </c>
      <c r="M295" s="1"/>
      <c r="N295" s="1"/>
    </row>
    <row r="296" spans="1:14" ht="30" customHeight="1">
      <c r="A296" s="2" t="str">
        <f>表格2[[#This Row],[站名]]&amp;表格2[[#This Row],[城市]]</f>
        <v>牡丹池山屏東縣</v>
      </c>
      <c r="B296" s="1" t="s">
        <v>1151</v>
      </c>
      <c r="C296" s="1" t="s">
        <v>1152</v>
      </c>
      <c r="D296" s="1">
        <v>22.168399999999998</v>
      </c>
      <c r="E296" s="1">
        <v>120.8412</v>
      </c>
      <c r="F296" s="1" t="s">
        <v>718</v>
      </c>
      <c r="G296" s="1" t="s">
        <v>2550</v>
      </c>
      <c r="H296" s="1" t="s">
        <v>980</v>
      </c>
      <c r="I296" s="1" t="s">
        <v>1153</v>
      </c>
      <c r="J296" s="1"/>
      <c r="K296" s="2">
        <v>43930</v>
      </c>
      <c r="L296" s="3" t="str">
        <f>_xlfn.XLOOKUP(A:A,Gemini建議!A:A,Gemini建議!B:B,"")</f>
        <v>高海拔測站 (全)</v>
      </c>
      <c r="M296" s="1"/>
      <c r="N296" s="1"/>
    </row>
    <row r="297" spans="1:14" ht="30" hidden="1" customHeight="1">
      <c r="A297" s="2" t="str">
        <f>表格2[[#This Row],[站名]]&amp;表格2[[#This Row],[城市]]</f>
        <v>林邊屏東縣</v>
      </c>
      <c r="B297" s="1" t="s">
        <v>1154</v>
      </c>
      <c r="C297" s="1" t="s">
        <v>1155</v>
      </c>
      <c r="D297" s="1">
        <v>22.4634</v>
      </c>
      <c r="E297" s="1">
        <v>120.5339</v>
      </c>
      <c r="F297" s="1" t="s">
        <v>1156</v>
      </c>
      <c r="G297" s="1" t="s">
        <v>2550</v>
      </c>
      <c r="H297" s="1" t="s">
        <v>980</v>
      </c>
      <c r="I297" s="1" t="s">
        <v>1157</v>
      </c>
      <c r="J297" s="1"/>
      <c r="K297" s="2">
        <v>44921</v>
      </c>
      <c r="L297" s="3" t="str">
        <f>_xlfn.XLOOKUP(A:A,Gemini建議!A:A,Gemini建議!B:B,"")</f>
        <v/>
      </c>
      <c r="M297" s="1"/>
      <c r="N297" s="1"/>
    </row>
    <row r="298" spans="1:14" ht="30" hidden="1" customHeight="1">
      <c r="A298" s="2" t="str">
        <f>表格2[[#This Row],[站名]]&amp;表格2[[#This Row],[城市]]</f>
        <v>鼻頭屏東縣</v>
      </c>
      <c r="B298" s="1" t="s">
        <v>1158</v>
      </c>
      <c r="C298" s="1" t="s">
        <v>1159</v>
      </c>
      <c r="D298" s="1">
        <v>22.104299999999999</v>
      </c>
      <c r="E298" s="1">
        <v>120.89790000000001</v>
      </c>
      <c r="F298" s="1" t="s">
        <v>386</v>
      </c>
      <c r="G298" s="1" t="s">
        <v>2550</v>
      </c>
      <c r="H298" s="1" t="s">
        <v>980</v>
      </c>
      <c r="I298" s="1" t="s">
        <v>1160</v>
      </c>
      <c r="J298" s="1"/>
      <c r="K298" s="2">
        <v>44921</v>
      </c>
      <c r="L298" s="3" t="str">
        <f>_xlfn.XLOOKUP(A:A,Gemini建議!A:A,Gemini建議!B:B,"")</f>
        <v/>
      </c>
      <c r="M298" s="1"/>
      <c r="N298" s="1"/>
    </row>
    <row r="299" spans="1:14" ht="30" hidden="1" customHeight="1">
      <c r="A299" s="2" t="str">
        <f>表格2[[#This Row],[站名]]&amp;表格2[[#This Row],[城市]]</f>
        <v>興海屏東縣</v>
      </c>
      <c r="B299" s="1" t="s">
        <v>1161</v>
      </c>
      <c r="C299" s="1" t="s">
        <v>1162</v>
      </c>
      <c r="D299" s="1">
        <v>21.975200000000001</v>
      </c>
      <c r="E299" s="1">
        <v>120.8439</v>
      </c>
      <c r="F299" s="1" t="s">
        <v>186</v>
      </c>
      <c r="G299" s="1" t="s">
        <v>2550</v>
      </c>
      <c r="H299" s="1" t="s">
        <v>980</v>
      </c>
      <c r="I299" s="1" t="s">
        <v>1163</v>
      </c>
      <c r="J299" s="1"/>
      <c r="K299" s="2">
        <v>44921</v>
      </c>
      <c r="L299" s="3" t="str">
        <f>_xlfn.XLOOKUP(A:A,Gemini建議!A:A,Gemini建議!B:B,"")</f>
        <v/>
      </c>
      <c r="M299" s="1"/>
      <c r="N299" s="1"/>
    </row>
    <row r="300" spans="1:14" ht="30" hidden="1" customHeight="1">
      <c r="A300" s="2" t="str">
        <f>表格2[[#This Row],[站名]]&amp;表格2[[#This Row],[城市]]</f>
        <v>後壁湖屏東縣</v>
      </c>
      <c r="B300" s="1" t="s">
        <v>1164</v>
      </c>
      <c r="C300" s="1" t="s">
        <v>1165</v>
      </c>
      <c r="D300" s="1">
        <v>21.945699999999999</v>
      </c>
      <c r="E300" s="1">
        <v>120.7457</v>
      </c>
      <c r="F300" s="1" t="s">
        <v>186</v>
      </c>
      <c r="G300" s="1" t="s">
        <v>2550</v>
      </c>
      <c r="H300" s="1" t="s">
        <v>980</v>
      </c>
      <c r="I300" s="1" t="s">
        <v>1166</v>
      </c>
      <c r="J300" s="1"/>
      <c r="K300" s="2">
        <v>44921</v>
      </c>
      <c r="L300" s="3" t="str">
        <f>_xlfn.XLOOKUP(A:A,Gemini建議!A:A,Gemini建議!B:B,"")</f>
        <v/>
      </c>
      <c r="M300" s="1"/>
      <c r="N300" s="1"/>
    </row>
    <row r="301" spans="1:14" ht="30" hidden="1" customHeight="1">
      <c r="A301" s="2" t="str">
        <f>表格2[[#This Row],[站名]]&amp;表格2[[#This Row],[城市]]</f>
        <v>山海屏東縣</v>
      </c>
      <c r="B301" s="1" t="s">
        <v>1167</v>
      </c>
      <c r="C301" s="1" t="s">
        <v>1168</v>
      </c>
      <c r="D301" s="1">
        <v>21.9878</v>
      </c>
      <c r="E301" s="1">
        <v>120.70910000000001</v>
      </c>
      <c r="F301" s="1" t="s">
        <v>866</v>
      </c>
      <c r="G301" s="1" t="s">
        <v>2550</v>
      </c>
      <c r="H301" s="1" t="s">
        <v>980</v>
      </c>
      <c r="I301" s="1" t="s">
        <v>1169</v>
      </c>
      <c r="J301" s="1"/>
      <c r="K301" s="2">
        <v>44921</v>
      </c>
      <c r="L301" s="3" t="str">
        <f>_xlfn.XLOOKUP(A:A,Gemini建議!A:A,Gemini建議!B:B,"")</f>
        <v/>
      </c>
      <c r="M301" s="1"/>
      <c r="N301" s="1"/>
    </row>
    <row r="302" spans="1:14" ht="30" hidden="1" customHeight="1">
      <c r="A302" s="2" t="str">
        <f>表格2[[#This Row],[站名]]&amp;表格2[[#This Row],[城市]]</f>
        <v>竹坑屏東縣</v>
      </c>
      <c r="B302" s="1" t="s">
        <v>1170</v>
      </c>
      <c r="C302" s="1" t="s">
        <v>1171</v>
      </c>
      <c r="D302" s="1">
        <v>22.138500000000001</v>
      </c>
      <c r="E302" s="1">
        <v>120.7022</v>
      </c>
      <c r="F302" s="1" t="s">
        <v>122</v>
      </c>
      <c r="G302" s="1" t="s">
        <v>2550</v>
      </c>
      <c r="H302" s="1" t="s">
        <v>980</v>
      </c>
      <c r="I302" s="1" t="s">
        <v>1172</v>
      </c>
      <c r="J302" s="1"/>
      <c r="K302" s="2">
        <v>44921</v>
      </c>
      <c r="L302" s="3" t="str">
        <f>_xlfn.XLOOKUP(A:A,Gemini建議!A:A,Gemini建議!B:B,"")</f>
        <v/>
      </c>
      <c r="M302" s="1"/>
      <c r="N302" s="1"/>
    </row>
    <row r="303" spans="1:14" ht="30" hidden="1" customHeight="1">
      <c r="A303" s="2" t="str">
        <f>表格2[[#This Row],[站名]]&amp;表格2[[#This Row],[城市]]</f>
        <v>下寮屏東縣</v>
      </c>
      <c r="B303" s="1" t="s">
        <v>1173</v>
      </c>
      <c r="C303" s="1" t="s">
        <v>1174</v>
      </c>
      <c r="D303" s="1">
        <v>22.392900000000001</v>
      </c>
      <c r="E303" s="1">
        <v>120.5548</v>
      </c>
      <c r="F303" s="1" t="s">
        <v>772</v>
      </c>
      <c r="G303" s="1" t="s">
        <v>2550</v>
      </c>
      <c r="H303" s="1" t="s">
        <v>980</v>
      </c>
      <c r="I303" s="1" t="s">
        <v>1175</v>
      </c>
      <c r="J303" s="1"/>
      <c r="K303" s="2">
        <v>44921</v>
      </c>
      <c r="L303" s="3" t="str">
        <f>_xlfn.XLOOKUP(A:A,Gemini建議!A:A,Gemini建議!B:B,"")</f>
        <v/>
      </c>
      <c r="M303" s="1"/>
      <c r="N303" s="1"/>
    </row>
    <row r="304" spans="1:14" ht="30" hidden="1" customHeight="1">
      <c r="A304" s="2" t="str">
        <f>表格2[[#This Row],[站名]]&amp;表格2[[#This Row],[城市]]</f>
        <v>塭仔屏東縣</v>
      </c>
      <c r="B304" s="1" t="s">
        <v>1176</v>
      </c>
      <c r="C304" s="1" t="s">
        <v>1177</v>
      </c>
      <c r="D304" s="1">
        <v>22.416899999999998</v>
      </c>
      <c r="E304" s="1">
        <v>120.5197</v>
      </c>
      <c r="F304" s="1" t="s">
        <v>252</v>
      </c>
      <c r="G304" s="1" t="s">
        <v>2550</v>
      </c>
      <c r="H304" s="1" t="s">
        <v>980</v>
      </c>
      <c r="I304" s="1" t="s">
        <v>1178</v>
      </c>
      <c r="J304" s="1"/>
      <c r="K304" s="2">
        <v>44921</v>
      </c>
      <c r="L304" s="3" t="str">
        <f>_xlfn.XLOOKUP(A:A,Gemini建議!A:A,Gemini建議!B:B,"")</f>
        <v/>
      </c>
      <c r="M304" s="1"/>
      <c r="N304" s="1"/>
    </row>
    <row r="305" spans="1:14" ht="30" hidden="1" customHeight="1">
      <c r="A305" s="2" t="str">
        <f>表格2[[#This Row],[站名]]&amp;表格2[[#This Row],[城市]]</f>
        <v>萬丹屏東縣</v>
      </c>
      <c r="B305" s="1" t="s">
        <v>1179</v>
      </c>
      <c r="C305" s="1" t="s">
        <v>1180</v>
      </c>
      <c r="D305" s="1">
        <v>22.5885</v>
      </c>
      <c r="E305" s="1">
        <v>120.4851</v>
      </c>
      <c r="F305" s="1" t="s">
        <v>203</v>
      </c>
      <c r="G305" s="1" t="s">
        <v>2550</v>
      </c>
      <c r="H305" s="1" t="s">
        <v>980</v>
      </c>
      <c r="I305" s="1" t="s">
        <v>1181</v>
      </c>
      <c r="J305" s="1" t="s">
        <v>1182</v>
      </c>
      <c r="K305" s="2">
        <v>44999</v>
      </c>
      <c r="L305" s="3" t="str">
        <f>_xlfn.XLOOKUP(A:A,Gemini建議!A:A,Gemini建議!B:B,"")</f>
        <v/>
      </c>
      <c r="M305" s="1"/>
      <c r="N305" s="1"/>
    </row>
    <row r="306" spans="1:14" ht="30" hidden="1" customHeight="1">
      <c r="A306" s="2" t="str">
        <f>表格2[[#This Row],[站名]]&amp;表格2[[#This Row],[城市]]</f>
        <v>加祿堂屏東縣</v>
      </c>
      <c r="B306" s="1" t="s">
        <v>1183</v>
      </c>
      <c r="C306" s="1" t="s">
        <v>1184</v>
      </c>
      <c r="D306" s="1">
        <v>22.336300000000001</v>
      </c>
      <c r="E306" s="1">
        <v>120.6217</v>
      </c>
      <c r="F306" s="1" t="s">
        <v>354</v>
      </c>
      <c r="G306" s="1" t="s">
        <v>2550</v>
      </c>
      <c r="H306" s="1" t="s">
        <v>980</v>
      </c>
      <c r="I306" s="1" t="s">
        <v>1185</v>
      </c>
      <c r="J306" s="1" t="s">
        <v>1186</v>
      </c>
      <c r="K306" s="2">
        <v>44921</v>
      </c>
      <c r="L306" s="3" t="str">
        <f>_xlfn.XLOOKUP(A:A,Gemini建議!A:A,Gemini建議!B:B,"")</f>
        <v/>
      </c>
      <c r="M306" s="1"/>
      <c r="N306" s="1"/>
    </row>
    <row r="307" spans="1:14" ht="30" hidden="1" customHeight="1">
      <c r="A307" s="2" t="str">
        <f>表格2[[#This Row],[站名]]&amp;表格2[[#This Row],[城市]]</f>
        <v>萬隆國小屏東縣</v>
      </c>
      <c r="B307" s="1" t="s">
        <v>1187</v>
      </c>
      <c r="C307" s="1" t="s">
        <v>1188</v>
      </c>
      <c r="D307" s="1">
        <v>22.5077</v>
      </c>
      <c r="E307" s="1">
        <v>120.5878</v>
      </c>
      <c r="F307" s="1" t="s">
        <v>1014</v>
      </c>
      <c r="G307" s="1" t="s">
        <v>2550</v>
      </c>
      <c r="H307" s="1" t="s">
        <v>980</v>
      </c>
      <c r="I307" s="1" t="s">
        <v>1189</v>
      </c>
      <c r="J307" s="1"/>
      <c r="K307" s="2">
        <v>45693</v>
      </c>
      <c r="L307" s="3" t="str">
        <f>_xlfn.XLOOKUP(A:A,Gemini建議!A:A,Gemini建議!B:B,"")</f>
        <v/>
      </c>
      <c r="M307" s="1"/>
      <c r="N307" s="1"/>
    </row>
    <row r="308" spans="1:14" ht="30" hidden="1" customHeight="1">
      <c r="A308" s="2" t="str">
        <f>表格2[[#This Row],[站名]]&amp;表格2[[#This Row],[城市]]</f>
        <v>內埔屏東縣</v>
      </c>
      <c r="B308" s="1" t="s">
        <v>1190</v>
      </c>
      <c r="C308" s="1" t="s">
        <v>1191</v>
      </c>
      <c r="D308" s="1">
        <v>22.608499999999999</v>
      </c>
      <c r="E308" s="1">
        <v>120.5707</v>
      </c>
      <c r="F308" s="1" t="s">
        <v>565</v>
      </c>
      <c r="G308" s="1" t="s">
        <v>2550</v>
      </c>
      <c r="H308" s="1" t="s">
        <v>980</v>
      </c>
      <c r="I308" s="1" t="s">
        <v>1192</v>
      </c>
      <c r="J308" s="1"/>
      <c r="K308" s="2">
        <v>45693</v>
      </c>
      <c r="L308" s="3" t="str">
        <f>_xlfn.XLOOKUP(A:A,Gemini建議!A:A,Gemini建議!B:B,"")</f>
        <v/>
      </c>
      <c r="M308" s="1"/>
      <c r="N308" s="1"/>
    </row>
    <row r="309" spans="1:14" ht="30" customHeight="1">
      <c r="A309" s="2" t="str">
        <f>表格2[[#This Row],[站名]]&amp;表格2[[#This Row],[城市]]</f>
        <v>下馬臺東縣</v>
      </c>
      <c r="B309" s="1" t="s">
        <v>1193</v>
      </c>
      <c r="C309" s="1" t="s">
        <v>1194</v>
      </c>
      <c r="D309" s="1">
        <v>23.150400000000001</v>
      </c>
      <c r="E309" s="1">
        <v>121.0703</v>
      </c>
      <c r="F309" s="1" t="s">
        <v>1195</v>
      </c>
      <c r="G309" s="1" t="s">
        <v>2553</v>
      </c>
      <c r="H309" s="1" t="s">
        <v>1196</v>
      </c>
      <c r="I309" s="1" t="s">
        <v>1197</v>
      </c>
      <c r="J309" s="1" t="s">
        <v>1198</v>
      </c>
      <c r="K309" s="2">
        <v>43623</v>
      </c>
      <c r="L309" s="3" t="str">
        <f>_xlfn.XLOOKUP(A:A,Gemini建議!A:A,Gemini建議!B:B,"")</f>
        <v>高海拔測站 (全)</v>
      </c>
      <c r="M309" s="1"/>
      <c r="N309" s="1"/>
    </row>
    <row r="310" spans="1:14" ht="30" customHeight="1">
      <c r="A310" s="2" t="str">
        <f>表格2[[#This Row],[站名]]&amp;表格2[[#This Row],[城市]]</f>
        <v>太麻里臺東縣</v>
      </c>
      <c r="B310" s="1" t="s">
        <v>1199</v>
      </c>
      <c r="C310" s="1" t="s">
        <v>1200</v>
      </c>
      <c r="D310" s="1">
        <v>22.609000000000002</v>
      </c>
      <c r="E310" s="1">
        <v>120.9853</v>
      </c>
      <c r="F310" s="1" t="s">
        <v>1201</v>
      </c>
      <c r="G310" s="1" t="s">
        <v>2553</v>
      </c>
      <c r="H310" s="1" t="s">
        <v>1196</v>
      </c>
      <c r="I310" s="1" t="s">
        <v>1202</v>
      </c>
      <c r="J310" s="1" t="s">
        <v>1203</v>
      </c>
      <c r="K310" s="2">
        <v>35544</v>
      </c>
      <c r="L310" s="3" t="str">
        <f>_xlfn.XLOOKUP(A:A,Gemini建議!A:A,Gemini建議!B:B,"")</f>
        <v>高海拔測站 (全)</v>
      </c>
      <c r="M310" s="1"/>
      <c r="N310" s="1"/>
    </row>
    <row r="311" spans="1:14" ht="30" customHeight="1">
      <c r="A311" s="2" t="str">
        <f>表格2[[#This Row],[站名]]&amp;表格2[[#This Row],[城市]]</f>
        <v>知本臺東縣</v>
      </c>
      <c r="B311" s="1" t="s">
        <v>1204</v>
      </c>
      <c r="C311" s="1" t="s">
        <v>1205</v>
      </c>
      <c r="D311" s="1">
        <v>22.684899999999999</v>
      </c>
      <c r="E311" s="1">
        <v>121.0056</v>
      </c>
      <c r="F311" s="1" t="s">
        <v>1206</v>
      </c>
      <c r="G311" s="1" t="s">
        <v>2553</v>
      </c>
      <c r="H311" s="1" t="s">
        <v>1196</v>
      </c>
      <c r="I311" s="1" t="s">
        <v>1207</v>
      </c>
      <c r="J311" s="1" t="s">
        <v>1208</v>
      </c>
      <c r="K311" s="2">
        <v>35544</v>
      </c>
      <c r="L311" s="3" t="str">
        <f>_xlfn.XLOOKUP(A:A,Gemini建議!A:A,Gemini建議!B:B,"")</f>
        <v>高海拔測站 (全)</v>
      </c>
      <c r="M311" s="1"/>
      <c r="N311" s="1"/>
    </row>
    <row r="312" spans="1:14" ht="30" hidden="1" customHeight="1">
      <c r="A312" s="2" t="str">
        <f>表格2[[#This Row],[站名]]&amp;表格2[[#This Row],[城市]]</f>
        <v>鹿野臺東縣</v>
      </c>
      <c r="B312" s="1" t="s">
        <v>1209</v>
      </c>
      <c r="C312" s="1" t="s">
        <v>1210</v>
      </c>
      <c r="D312" s="1">
        <v>22.9177</v>
      </c>
      <c r="E312" s="1">
        <v>121.123</v>
      </c>
      <c r="F312" s="1" t="s">
        <v>1211</v>
      </c>
      <c r="G312" s="1" t="s">
        <v>2553</v>
      </c>
      <c r="H312" s="1" t="s">
        <v>1196</v>
      </c>
      <c r="I312" s="1" t="s">
        <v>1212</v>
      </c>
      <c r="J312" s="1" t="s">
        <v>1213</v>
      </c>
      <c r="K312" s="2">
        <v>35542</v>
      </c>
      <c r="L312" s="3" t="str">
        <f>_xlfn.XLOOKUP(A:A,Gemini建議!A:A,Gemini建議!B:B,"")</f>
        <v/>
      </c>
      <c r="M312" s="1"/>
      <c r="N312" s="1"/>
    </row>
    <row r="313" spans="1:14" ht="30" hidden="1" customHeight="1">
      <c r="A313" s="2" t="str">
        <f>表格2[[#This Row],[站名]]&amp;表格2[[#This Row],[城市]]</f>
        <v>綠島臺東縣</v>
      </c>
      <c r="B313" s="1" t="s">
        <v>1214</v>
      </c>
      <c r="C313" s="1" t="s">
        <v>1215</v>
      </c>
      <c r="D313" s="1">
        <v>22.667200000000001</v>
      </c>
      <c r="E313" s="1">
        <v>121.4753</v>
      </c>
      <c r="F313" s="1" t="s">
        <v>610</v>
      </c>
      <c r="G313" s="1" t="s">
        <v>2553</v>
      </c>
      <c r="H313" s="1" t="s">
        <v>1196</v>
      </c>
      <c r="I313" s="1" t="s">
        <v>1216</v>
      </c>
      <c r="J313" s="1" t="s">
        <v>1217</v>
      </c>
      <c r="K313" s="2">
        <v>35595</v>
      </c>
      <c r="L313" s="3" t="str">
        <f>_xlfn.XLOOKUP(A:A,Gemini建議!A:A,Gemini建議!B:B,"")</f>
        <v/>
      </c>
      <c r="M313" s="1"/>
      <c r="N313" s="1"/>
    </row>
    <row r="314" spans="1:14" ht="30" hidden="1" customHeight="1">
      <c r="A314" s="2" t="str">
        <f>表格2[[#This Row],[站名]]&amp;表格2[[#This Row],[城市]]</f>
        <v>池上臺東縣</v>
      </c>
      <c r="B314" s="1" t="s">
        <v>1218</v>
      </c>
      <c r="C314" s="1" t="s">
        <v>1219</v>
      </c>
      <c r="D314" s="1">
        <v>23.119599999999998</v>
      </c>
      <c r="E314" s="1">
        <v>121.20950000000001</v>
      </c>
      <c r="F314" s="1" t="s">
        <v>1220</v>
      </c>
      <c r="G314" s="1" t="s">
        <v>2553</v>
      </c>
      <c r="H314" s="1" t="s">
        <v>1196</v>
      </c>
      <c r="I314" s="1" t="s">
        <v>1221</v>
      </c>
      <c r="J314" s="1" t="s">
        <v>1222</v>
      </c>
      <c r="K314" s="2">
        <v>35558</v>
      </c>
      <c r="L314" s="3" t="str">
        <f>_xlfn.XLOOKUP(A:A,Gemini建議!A:A,Gemini建議!B:B,"")</f>
        <v/>
      </c>
      <c r="M314" s="1"/>
      <c r="N314" s="1"/>
    </row>
    <row r="315" spans="1:14" ht="30" customHeight="1">
      <c r="A315" s="2" t="str">
        <f>表格2[[#This Row],[站名]]&amp;表格2[[#This Row],[城市]]</f>
        <v>向陽臺東縣</v>
      </c>
      <c r="B315" s="1" t="s">
        <v>1223</v>
      </c>
      <c r="C315" s="1" t="s">
        <v>1224</v>
      </c>
      <c r="D315" s="1">
        <v>23.2484</v>
      </c>
      <c r="E315" s="1">
        <v>120.98609999999999</v>
      </c>
      <c r="F315" s="1" t="s">
        <v>1225</v>
      </c>
      <c r="G315" s="1" t="s">
        <v>2553</v>
      </c>
      <c r="H315" s="1" t="s">
        <v>1196</v>
      </c>
      <c r="I315" s="1" t="s">
        <v>1226</v>
      </c>
      <c r="J315" s="1" t="s">
        <v>1227</v>
      </c>
      <c r="K315" s="2">
        <v>35567</v>
      </c>
      <c r="L315" s="3" t="str">
        <f>_xlfn.XLOOKUP(A:A,Gemini建議!A:A,Gemini建議!B:B,"")</f>
        <v>高海拔測站 (全)</v>
      </c>
      <c r="M315" s="1"/>
      <c r="N315" s="1"/>
    </row>
    <row r="316" spans="1:14" ht="30" customHeight="1">
      <c r="A316" s="2" t="str">
        <f>表格2[[#This Row],[站名]]&amp;表格2[[#This Row],[城市]]</f>
        <v>紅石臺東縣</v>
      </c>
      <c r="B316" s="1" t="s">
        <v>1228</v>
      </c>
      <c r="C316" s="1" t="s">
        <v>1229</v>
      </c>
      <c r="D316" s="1">
        <v>23.069099999999999</v>
      </c>
      <c r="E316" s="1">
        <v>121.1262</v>
      </c>
      <c r="F316" s="1" t="s">
        <v>1230</v>
      </c>
      <c r="G316" s="1" t="s">
        <v>2553</v>
      </c>
      <c r="H316" s="1" t="s">
        <v>1196</v>
      </c>
      <c r="I316" s="1" t="s">
        <v>1231</v>
      </c>
      <c r="J316" s="1" t="s">
        <v>1232</v>
      </c>
      <c r="K316" s="2">
        <v>35566</v>
      </c>
      <c r="L316" s="3" t="str">
        <f>_xlfn.XLOOKUP(A:A,Gemini建議!A:A,Gemini建議!B:B,"")</f>
        <v>高海拔測站 (全)</v>
      </c>
      <c r="M316" s="1"/>
      <c r="N316" s="1"/>
    </row>
    <row r="317" spans="1:14" ht="30" hidden="1" customHeight="1">
      <c r="A317" s="2" t="str">
        <f>表格2[[#This Row],[站名]]&amp;表格2[[#This Row],[城市]]</f>
        <v>大溪山臺東縣</v>
      </c>
      <c r="B317" s="1" t="s">
        <v>1233</v>
      </c>
      <c r="C317" s="1" t="s">
        <v>1234</v>
      </c>
      <c r="D317" s="1">
        <v>22.4785</v>
      </c>
      <c r="E317" s="1">
        <v>120.94329999999999</v>
      </c>
      <c r="F317" s="1" t="s">
        <v>1235</v>
      </c>
      <c r="G317" s="1" t="s">
        <v>2553</v>
      </c>
      <c r="H317" s="1" t="s">
        <v>1196</v>
      </c>
      <c r="I317" s="1" t="s">
        <v>1236</v>
      </c>
      <c r="J317" s="1" t="s">
        <v>1237</v>
      </c>
      <c r="K317" s="2">
        <v>35547</v>
      </c>
      <c r="L317" s="3" t="str">
        <f>_xlfn.XLOOKUP(A:A,Gemini建議!A:A,Gemini建議!B:B,"")</f>
        <v/>
      </c>
      <c r="M317" s="1"/>
      <c r="N317" s="1"/>
    </row>
    <row r="318" spans="1:14" ht="30" hidden="1" customHeight="1">
      <c r="A318" s="2" t="str">
        <f>表格2[[#This Row],[站名]]&amp;表格2[[#This Row],[城市]]</f>
        <v>金崙臺東縣</v>
      </c>
      <c r="B318" s="1" t="s">
        <v>1238</v>
      </c>
      <c r="C318" s="1" t="s">
        <v>1239</v>
      </c>
      <c r="D318" s="1">
        <v>22.5381</v>
      </c>
      <c r="E318" s="1">
        <v>120.9669</v>
      </c>
      <c r="F318" s="1" t="s">
        <v>1240</v>
      </c>
      <c r="G318" s="1" t="s">
        <v>2553</v>
      </c>
      <c r="H318" s="1" t="s">
        <v>1196</v>
      </c>
      <c r="I318" s="1" t="s">
        <v>1241</v>
      </c>
      <c r="J318" s="1" t="s">
        <v>1242</v>
      </c>
      <c r="K318" s="2">
        <v>38089</v>
      </c>
      <c r="L318" s="3" t="str">
        <f>_xlfn.XLOOKUP(A:A,Gemini建議!A:A,Gemini建議!B:B,"")</f>
        <v/>
      </c>
      <c r="M318" s="1"/>
      <c r="N318" s="1"/>
    </row>
    <row r="319" spans="1:14" ht="30" hidden="1" customHeight="1">
      <c r="A319" s="2" t="str">
        <f>表格2[[#This Row],[站名]]&amp;表格2[[#This Row],[城市]]</f>
        <v>東河臺東縣</v>
      </c>
      <c r="B319" s="1" t="s">
        <v>1243</v>
      </c>
      <c r="C319" s="1" t="s">
        <v>1244</v>
      </c>
      <c r="D319" s="1">
        <v>22.9727</v>
      </c>
      <c r="E319" s="1">
        <v>121.304</v>
      </c>
      <c r="F319" s="1" t="s">
        <v>346</v>
      </c>
      <c r="G319" s="1" t="s">
        <v>2553</v>
      </c>
      <c r="H319" s="1" t="s">
        <v>1196</v>
      </c>
      <c r="I319" s="1" t="s">
        <v>1245</v>
      </c>
      <c r="J319" s="1" t="s">
        <v>1246</v>
      </c>
      <c r="K319" s="2">
        <v>38139</v>
      </c>
      <c r="L319" s="3" t="str">
        <f>_xlfn.XLOOKUP(A:A,Gemini建議!A:A,Gemini建議!B:B,"")</f>
        <v/>
      </c>
      <c r="M319" s="1"/>
      <c r="N319" s="1"/>
    </row>
    <row r="320" spans="1:14" ht="30" hidden="1" customHeight="1">
      <c r="A320" s="2" t="str">
        <f>表格2[[#This Row],[站名]]&amp;表格2[[#This Row],[城市]]</f>
        <v>長濱臺東縣</v>
      </c>
      <c r="B320" s="1" t="s">
        <v>1247</v>
      </c>
      <c r="C320" s="1" t="s">
        <v>1248</v>
      </c>
      <c r="D320" s="1">
        <v>23.286799999999999</v>
      </c>
      <c r="E320" s="1">
        <v>121.41200000000001</v>
      </c>
      <c r="F320" s="1" t="s">
        <v>1249</v>
      </c>
      <c r="G320" s="1" t="s">
        <v>2553</v>
      </c>
      <c r="H320" s="1" t="s">
        <v>1196</v>
      </c>
      <c r="I320" s="1" t="s">
        <v>1250</v>
      </c>
      <c r="J320" s="1" t="s">
        <v>1251</v>
      </c>
      <c r="K320" s="2">
        <v>38139</v>
      </c>
      <c r="L320" s="3" t="str">
        <f>_xlfn.XLOOKUP(A:A,Gemini建議!A:A,Gemini建議!B:B,"")</f>
        <v/>
      </c>
      <c r="M320" s="1"/>
      <c r="N320" s="1"/>
    </row>
    <row r="321" spans="1:14" ht="30" hidden="1" customHeight="1">
      <c r="A321" s="2" t="str">
        <f>表格2[[#This Row],[站名]]&amp;表格2[[#This Row],[城市]]</f>
        <v>南田臺東縣</v>
      </c>
      <c r="B321" s="1" t="s">
        <v>1252</v>
      </c>
      <c r="C321" s="1" t="s">
        <v>1253</v>
      </c>
      <c r="D321" s="1">
        <v>22.279699999999998</v>
      </c>
      <c r="E321" s="1">
        <v>120.8892</v>
      </c>
      <c r="F321" s="1" t="s">
        <v>175</v>
      </c>
      <c r="G321" s="1" t="s">
        <v>2553</v>
      </c>
      <c r="H321" s="1" t="s">
        <v>1196</v>
      </c>
      <c r="I321" s="1" t="s">
        <v>1254</v>
      </c>
      <c r="J321" s="1" t="s">
        <v>1255</v>
      </c>
      <c r="K321" s="2">
        <v>38089</v>
      </c>
      <c r="L321" s="3" t="str">
        <f>_xlfn.XLOOKUP(A:A,Gemini建議!A:A,Gemini建議!B:B,"")</f>
        <v/>
      </c>
      <c r="M321" s="1"/>
      <c r="N321" s="1"/>
    </row>
    <row r="322" spans="1:14" ht="30" customHeight="1">
      <c r="A322" s="2" t="str">
        <f>表格2[[#This Row],[站名]]&amp;表格2[[#This Row],[城市]]</f>
        <v>關山臺東縣</v>
      </c>
      <c r="B322" s="1" t="s">
        <v>1256</v>
      </c>
      <c r="C322" s="1" t="s">
        <v>1257</v>
      </c>
      <c r="D322" s="1">
        <v>23.0395</v>
      </c>
      <c r="E322" s="1">
        <v>121.175</v>
      </c>
      <c r="F322" s="1" t="s">
        <v>1258</v>
      </c>
      <c r="G322" s="1" t="s">
        <v>2553</v>
      </c>
      <c r="H322" s="1" t="s">
        <v>1196</v>
      </c>
      <c r="I322" s="1" t="s">
        <v>1259</v>
      </c>
      <c r="J322" s="1" t="s">
        <v>1260</v>
      </c>
      <c r="K322" s="2">
        <v>42344</v>
      </c>
      <c r="L322" s="3" t="str">
        <f>_xlfn.XLOOKUP(A:A,Gemini建議!A:A,Gemini建議!B:B,"")</f>
        <v>低海拔代表站</v>
      </c>
      <c r="M322" s="1"/>
      <c r="N322" s="1"/>
    </row>
    <row r="323" spans="1:14" ht="30" hidden="1" customHeight="1">
      <c r="A323" s="2" t="str">
        <f>表格2[[#This Row],[站名]]&amp;表格2[[#This Row],[城市]]</f>
        <v>蘭嶼高中臺東縣</v>
      </c>
      <c r="B323" s="1" t="s">
        <v>1261</v>
      </c>
      <c r="C323" s="1" t="s">
        <v>1262</v>
      </c>
      <c r="D323" s="1">
        <v>22.049099999999999</v>
      </c>
      <c r="E323" s="1">
        <v>121.5121</v>
      </c>
      <c r="F323" s="1" t="s">
        <v>99</v>
      </c>
      <c r="G323" s="1" t="s">
        <v>2553</v>
      </c>
      <c r="H323" s="1" t="s">
        <v>1196</v>
      </c>
      <c r="I323" s="1" t="s">
        <v>1263</v>
      </c>
      <c r="J323" s="1"/>
      <c r="K323" s="2">
        <v>43399</v>
      </c>
      <c r="L323" s="3" t="str">
        <f>_xlfn.XLOOKUP(A:A,Gemini建議!A:A,Gemini建議!B:B,"")</f>
        <v/>
      </c>
      <c r="M323" s="1"/>
      <c r="N323" s="1"/>
    </row>
    <row r="324" spans="1:14" ht="30" hidden="1" customHeight="1">
      <c r="A324" s="2" t="str">
        <f>表格2[[#This Row],[站名]]&amp;表格2[[#This Row],[城市]]</f>
        <v>蘭嶼燈塔臺東縣</v>
      </c>
      <c r="B324" s="1" t="s">
        <v>1264</v>
      </c>
      <c r="C324" s="1" t="s">
        <v>1265</v>
      </c>
      <c r="D324" s="1">
        <v>22.081199999999999</v>
      </c>
      <c r="E324" s="1">
        <v>121.5031</v>
      </c>
      <c r="F324" s="1" t="s">
        <v>1266</v>
      </c>
      <c r="G324" s="1" t="s">
        <v>2553</v>
      </c>
      <c r="H324" s="1" t="s">
        <v>1196</v>
      </c>
      <c r="I324" s="1" t="s">
        <v>1267</v>
      </c>
      <c r="J324" s="1"/>
      <c r="K324" s="2">
        <v>43399</v>
      </c>
      <c r="L324" s="3" t="str">
        <f>_xlfn.XLOOKUP(A:A,Gemini建議!A:A,Gemini建議!B:B,"")</f>
        <v/>
      </c>
      <c r="M324" s="1"/>
      <c r="N324" s="1"/>
    </row>
    <row r="325" spans="1:14" ht="30" hidden="1" customHeight="1">
      <c r="A325" s="2" t="str">
        <f>表格2[[#This Row],[站名]]&amp;表格2[[#This Row],[城市]]</f>
        <v>金峰嘉蘭臺東縣</v>
      </c>
      <c r="B325" s="1" t="s">
        <v>1268</v>
      </c>
      <c r="C325" s="1" t="s">
        <v>1269</v>
      </c>
      <c r="D325" s="1">
        <v>22.594799999999999</v>
      </c>
      <c r="E325" s="1">
        <v>120.96080000000001</v>
      </c>
      <c r="F325" s="1" t="s">
        <v>1270</v>
      </c>
      <c r="G325" s="1" t="s">
        <v>2553</v>
      </c>
      <c r="H325" s="1" t="s">
        <v>1196</v>
      </c>
      <c r="I325" s="1" t="s">
        <v>1271</v>
      </c>
      <c r="J325" s="1"/>
      <c r="K325" s="2">
        <v>43651</v>
      </c>
      <c r="L325" s="3" t="str">
        <f>_xlfn.XLOOKUP(A:A,Gemini建議!A:A,Gemini建議!B:B,"")</f>
        <v/>
      </c>
      <c r="M325" s="1"/>
      <c r="N325" s="1"/>
    </row>
    <row r="326" spans="1:14" ht="30" hidden="1" customHeight="1">
      <c r="A326" s="2" t="str">
        <f>表格2[[#This Row],[站名]]&amp;表格2[[#This Row],[城市]]</f>
        <v>延平臺東縣</v>
      </c>
      <c r="B326" s="1" t="s">
        <v>1272</v>
      </c>
      <c r="C326" s="1" t="s">
        <v>1273</v>
      </c>
      <c r="D326" s="1">
        <v>22.9026</v>
      </c>
      <c r="E326" s="1">
        <v>121.08410000000001</v>
      </c>
      <c r="F326" s="1" t="s">
        <v>1274</v>
      </c>
      <c r="G326" s="1" t="s">
        <v>2553</v>
      </c>
      <c r="H326" s="1" t="s">
        <v>1196</v>
      </c>
      <c r="I326" s="1" t="s">
        <v>1275</v>
      </c>
      <c r="J326" s="1"/>
      <c r="K326" s="2">
        <v>43651</v>
      </c>
      <c r="L326" s="3" t="str">
        <f>_xlfn.XLOOKUP(A:A,Gemini建議!A:A,Gemini建議!B:B,"")</f>
        <v/>
      </c>
      <c r="M326" s="1"/>
      <c r="N326" s="1"/>
    </row>
    <row r="327" spans="1:14" ht="30" hidden="1" customHeight="1">
      <c r="A327" s="2" t="str">
        <f>表格2[[#This Row],[站名]]&amp;表格2[[#This Row],[城市]]</f>
        <v>石寧山臺東縣</v>
      </c>
      <c r="B327" s="1" t="s">
        <v>1276</v>
      </c>
      <c r="C327" s="1" t="s">
        <v>1277</v>
      </c>
      <c r="D327" s="1">
        <v>23.223800000000001</v>
      </c>
      <c r="E327" s="1">
        <v>121.4066</v>
      </c>
      <c r="F327" s="1" t="s">
        <v>870</v>
      </c>
      <c r="G327" s="1" t="s">
        <v>2553</v>
      </c>
      <c r="H327" s="1" t="s">
        <v>1196</v>
      </c>
      <c r="I327" s="1" t="s">
        <v>1278</v>
      </c>
      <c r="J327" s="1"/>
      <c r="K327" s="2">
        <v>43651</v>
      </c>
      <c r="L327" s="3" t="str">
        <f>_xlfn.XLOOKUP(A:A,Gemini建議!A:A,Gemini建議!B:B,"")</f>
        <v/>
      </c>
      <c r="M327" s="1"/>
      <c r="N327" s="1"/>
    </row>
    <row r="328" spans="1:14" ht="30" hidden="1" customHeight="1">
      <c r="A328" s="2" t="str">
        <f>表格2[[#This Row],[站名]]&amp;表格2[[#This Row],[城市]]</f>
        <v>七塊厝臺東縣</v>
      </c>
      <c r="B328" s="1" t="s">
        <v>1279</v>
      </c>
      <c r="C328" s="1" t="s">
        <v>1280</v>
      </c>
      <c r="D328" s="1">
        <v>22.954499999999999</v>
      </c>
      <c r="E328" s="1">
        <v>121.2299</v>
      </c>
      <c r="F328" s="1" t="s">
        <v>1281</v>
      </c>
      <c r="G328" s="1" t="s">
        <v>2553</v>
      </c>
      <c r="H328" s="1" t="s">
        <v>1196</v>
      </c>
      <c r="I328" s="1" t="s">
        <v>1282</v>
      </c>
      <c r="J328" s="1"/>
      <c r="K328" s="2">
        <v>43651</v>
      </c>
      <c r="L328" s="3" t="str">
        <f>_xlfn.XLOOKUP(A:A,Gemini建議!A:A,Gemini建議!B:B,"")</f>
        <v/>
      </c>
      <c r="M328" s="1"/>
      <c r="N328" s="1"/>
    </row>
    <row r="329" spans="1:14" ht="30" hidden="1" customHeight="1">
      <c r="A329" s="2" t="str">
        <f>表格2[[#This Row],[站名]]&amp;表格2[[#This Row],[城市]]</f>
        <v>香蘭臺東縣</v>
      </c>
      <c r="B329" s="1" t="s">
        <v>1283</v>
      </c>
      <c r="C329" s="1" t="s">
        <v>1284</v>
      </c>
      <c r="D329" s="1">
        <v>22.587599999999998</v>
      </c>
      <c r="E329" s="1">
        <v>120.99339999999999</v>
      </c>
      <c r="F329" s="1" t="s">
        <v>107</v>
      </c>
      <c r="G329" s="1" t="s">
        <v>2553</v>
      </c>
      <c r="H329" s="1" t="s">
        <v>1196</v>
      </c>
      <c r="I329" s="1" t="s">
        <v>1285</v>
      </c>
      <c r="J329" s="1"/>
      <c r="K329" s="2">
        <v>43797</v>
      </c>
      <c r="L329" s="3" t="str">
        <f>_xlfn.XLOOKUP(A:A,Gemini建議!A:A,Gemini建議!B:B,"")</f>
        <v/>
      </c>
      <c r="M329" s="1"/>
      <c r="N329" s="1"/>
    </row>
    <row r="330" spans="1:14" ht="30" hidden="1" customHeight="1">
      <c r="A330" s="2" t="str">
        <f>表格2[[#This Row],[站名]]&amp;表格2[[#This Row],[城市]]</f>
        <v>加津林臺東縣</v>
      </c>
      <c r="B330" s="1" t="s">
        <v>1286</v>
      </c>
      <c r="C330" s="1" t="s">
        <v>1287</v>
      </c>
      <c r="D330" s="1">
        <v>22.4162</v>
      </c>
      <c r="E330" s="1">
        <v>120.9269</v>
      </c>
      <c r="F330" s="1" t="s">
        <v>252</v>
      </c>
      <c r="G330" s="1" t="s">
        <v>2553</v>
      </c>
      <c r="H330" s="1" t="s">
        <v>1196</v>
      </c>
      <c r="I330" s="1" t="s">
        <v>1288</v>
      </c>
      <c r="J330" s="1"/>
      <c r="K330" s="2">
        <v>43651</v>
      </c>
      <c r="L330" s="3" t="str">
        <f>_xlfn.XLOOKUP(A:A,Gemini建議!A:A,Gemini建議!B:B,"")</f>
        <v/>
      </c>
      <c r="M330" s="1"/>
      <c r="N330" s="1"/>
    </row>
    <row r="331" spans="1:14" ht="30" customHeight="1">
      <c r="A331" s="2" t="str">
        <f>表格2[[#This Row],[站名]]&amp;表格2[[#This Row],[城市]]</f>
        <v>勝林山臺東縣</v>
      </c>
      <c r="B331" s="1" t="s">
        <v>1289</v>
      </c>
      <c r="C331" s="1" t="s">
        <v>1290</v>
      </c>
      <c r="D331" s="1">
        <v>22.430399999999999</v>
      </c>
      <c r="E331" s="1">
        <v>120.8938</v>
      </c>
      <c r="F331" s="1" t="s">
        <v>1291</v>
      </c>
      <c r="G331" s="1" t="s">
        <v>2553</v>
      </c>
      <c r="H331" s="1" t="s">
        <v>1196</v>
      </c>
      <c r="I331" s="1" t="s">
        <v>1292</v>
      </c>
      <c r="J331" s="1"/>
      <c r="K331" s="2">
        <v>43651</v>
      </c>
      <c r="L331" s="3" t="str">
        <f>_xlfn.XLOOKUP(A:A,Gemini建議!A:A,Gemini建議!B:B,"")</f>
        <v>高海拔測站 (全)</v>
      </c>
      <c r="M331" s="1"/>
      <c r="N331" s="1"/>
    </row>
    <row r="332" spans="1:14" ht="30" hidden="1" customHeight="1">
      <c r="A332" s="2" t="str">
        <f>表格2[[#This Row],[站名]]&amp;表格2[[#This Row],[城市]]</f>
        <v>山豬窟臺東縣</v>
      </c>
      <c r="B332" s="1" t="s">
        <v>1293</v>
      </c>
      <c r="C332" s="1" t="s">
        <v>1294</v>
      </c>
      <c r="D332" s="1">
        <v>22.3186</v>
      </c>
      <c r="E332" s="1">
        <v>120.8574</v>
      </c>
      <c r="F332" s="1" t="s">
        <v>1295</v>
      </c>
      <c r="G332" s="1" t="s">
        <v>2553</v>
      </c>
      <c r="H332" s="1" t="s">
        <v>1196</v>
      </c>
      <c r="I332" s="1" t="s">
        <v>1296</v>
      </c>
      <c r="J332" s="1"/>
      <c r="K332" s="2">
        <v>43651</v>
      </c>
      <c r="L332" s="3" t="str">
        <f>_xlfn.XLOOKUP(A:A,Gemini建議!A:A,Gemini建議!B:B,"")</f>
        <v/>
      </c>
      <c r="M332" s="1"/>
      <c r="N332" s="1"/>
    </row>
    <row r="333" spans="1:14" ht="30" hidden="1" customHeight="1">
      <c r="A333" s="2" t="str">
        <f>表格2[[#This Row],[站名]]&amp;表格2[[#This Row],[城市]]</f>
        <v>歷坵臺東縣</v>
      </c>
      <c r="B333" s="1" t="s">
        <v>1297</v>
      </c>
      <c r="C333" s="1" t="s">
        <v>1298</v>
      </c>
      <c r="D333" s="1">
        <v>22.521000000000001</v>
      </c>
      <c r="E333" s="1">
        <v>120.89190000000001</v>
      </c>
      <c r="F333" s="1" t="s">
        <v>1299</v>
      </c>
      <c r="G333" s="1" t="s">
        <v>2553</v>
      </c>
      <c r="H333" s="1" t="s">
        <v>1196</v>
      </c>
      <c r="I333" s="1" t="s">
        <v>1300</v>
      </c>
      <c r="J333" s="1"/>
      <c r="K333" s="2">
        <v>43651</v>
      </c>
      <c r="L333" s="3" t="str">
        <f>_xlfn.XLOOKUP(A:A,Gemini建議!A:A,Gemini建議!B:B,"")</f>
        <v/>
      </c>
      <c r="M333" s="1"/>
      <c r="N333" s="1"/>
    </row>
    <row r="334" spans="1:14" ht="30" hidden="1" customHeight="1">
      <c r="A334" s="2" t="str">
        <f>表格2[[#This Row],[站名]]&amp;表格2[[#This Row],[城市]]</f>
        <v>檳榔四格山臺東縣</v>
      </c>
      <c r="B334" s="1" t="s">
        <v>1301</v>
      </c>
      <c r="C334" s="1" t="s">
        <v>1302</v>
      </c>
      <c r="D334" s="1">
        <v>22.81</v>
      </c>
      <c r="E334" s="1">
        <v>121.1093</v>
      </c>
      <c r="F334" s="1" t="s">
        <v>1303</v>
      </c>
      <c r="G334" s="1" t="s">
        <v>2553</v>
      </c>
      <c r="H334" s="1" t="s">
        <v>1196</v>
      </c>
      <c r="I334" s="1" t="s">
        <v>1304</v>
      </c>
      <c r="J334" s="1"/>
      <c r="K334" s="2">
        <v>43651</v>
      </c>
      <c r="L334" s="3" t="str">
        <f>_xlfn.XLOOKUP(A:A,Gemini建議!A:A,Gemini建議!B:B,"")</f>
        <v/>
      </c>
      <c r="M334" s="1"/>
      <c r="N334" s="1"/>
    </row>
    <row r="335" spans="1:14" ht="30" customHeight="1">
      <c r="A335" s="2" t="str">
        <f>表格2[[#This Row],[站名]]&amp;表格2[[#This Row],[城市]]</f>
        <v>金崙山臺東縣</v>
      </c>
      <c r="B335" s="1" t="s">
        <v>1305</v>
      </c>
      <c r="C335" s="1" t="s">
        <v>1306</v>
      </c>
      <c r="D335" s="1">
        <v>22.567399999999999</v>
      </c>
      <c r="E335" s="1">
        <v>120.9597</v>
      </c>
      <c r="F335" s="1" t="s">
        <v>1307</v>
      </c>
      <c r="G335" s="1" t="s">
        <v>2553</v>
      </c>
      <c r="H335" s="1" t="s">
        <v>1196</v>
      </c>
      <c r="I335" s="1" t="s">
        <v>1308</v>
      </c>
      <c r="J335" s="1"/>
      <c r="K335" s="2">
        <v>43651</v>
      </c>
      <c r="L335" s="3" t="str">
        <f>_xlfn.XLOOKUP(A:A,Gemini建議!A:A,Gemini建議!B:B,"")</f>
        <v>高海拔測站 (全)</v>
      </c>
      <c r="M335" s="1"/>
      <c r="N335" s="1"/>
    </row>
    <row r="336" spans="1:14" ht="30" hidden="1" customHeight="1">
      <c r="A336" s="2" t="str">
        <f>表格2[[#This Row],[站名]]&amp;表格2[[#This Row],[城市]]</f>
        <v>都歷臺東縣</v>
      </c>
      <c r="B336" s="1" t="s">
        <v>1309</v>
      </c>
      <c r="C336" s="1" t="s">
        <v>1310</v>
      </c>
      <c r="D336" s="1">
        <v>23.020299999999999</v>
      </c>
      <c r="E336" s="1">
        <v>121.3236</v>
      </c>
      <c r="F336" s="1" t="s">
        <v>1128</v>
      </c>
      <c r="G336" s="1" t="s">
        <v>2553</v>
      </c>
      <c r="H336" s="1" t="s">
        <v>1196</v>
      </c>
      <c r="I336" s="1" t="s">
        <v>1311</v>
      </c>
      <c r="J336" s="1"/>
      <c r="K336" s="2">
        <v>43651</v>
      </c>
      <c r="L336" s="3" t="str">
        <f>_xlfn.XLOOKUP(A:A,Gemini建議!A:A,Gemini建議!B:B,"")</f>
        <v/>
      </c>
      <c r="M336" s="1"/>
      <c r="N336" s="1"/>
    </row>
    <row r="337" spans="1:14" ht="30" hidden="1" customHeight="1">
      <c r="A337" s="2" t="str">
        <f>表格2[[#This Row],[站名]]&amp;表格2[[#This Row],[城市]]</f>
        <v>瑞和臺東縣</v>
      </c>
      <c r="B337" s="1" t="s">
        <v>1312</v>
      </c>
      <c r="C337" s="1" t="s">
        <v>1313</v>
      </c>
      <c r="D337" s="1">
        <v>22.974399999999999</v>
      </c>
      <c r="E337" s="1">
        <v>121.1567</v>
      </c>
      <c r="F337" s="1" t="s">
        <v>1314</v>
      </c>
      <c r="G337" s="1" t="s">
        <v>2553</v>
      </c>
      <c r="H337" s="1" t="s">
        <v>1196</v>
      </c>
      <c r="I337" s="1" t="s">
        <v>1315</v>
      </c>
      <c r="J337" s="1"/>
      <c r="K337" s="2">
        <v>43651</v>
      </c>
      <c r="L337" s="3" t="str">
        <f>_xlfn.XLOOKUP(A:A,Gemini建議!A:A,Gemini建議!B:B,"")</f>
        <v/>
      </c>
      <c r="M337" s="1"/>
      <c r="N337" s="1"/>
    </row>
    <row r="338" spans="1:14" ht="30" hidden="1" customHeight="1">
      <c r="A338" s="2" t="str">
        <f>表格2[[#This Row],[站名]]&amp;表格2[[#This Row],[城市]]</f>
        <v>知本（水試所）臺東縣</v>
      </c>
      <c r="B338" s="1" t="s">
        <v>1316</v>
      </c>
      <c r="C338" s="1" t="s">
        <v>1317</v>
      </c>
      <c r="D338" s="1">
        <v>22.702400000000001</v>
      </c>
      <c r="E338" s="1">
        <v>121.08280000000001</v>
      </c>
      <c r="F338" s="1" t="s">
        <v>67</v>
      </c>
      <c r="G338" s="1" t="s">
        <v>2553</v>
      </c>
      <c r="H338" s="1" t="s">
        <v>1196</v>
      </c>
      <c r="I338" s="1" t="s">
        <v>1318</v>
      </c>
      <c r="J338" s="1"/>
      <c r="K338" s="2">
        <v>43930</v>
      </c>
      <c r="L338" s="3" t="str">
        <f>_xlfn.XLOOKUP(A:A,Gemini建議!A:A,Gemini建議!B:B,"")</f>
        <v/>
      </c>
      <c r="M338" s="1"/>
      <c r="N338" s="1"/>
    </row>
    <row r="339" spans="1:14" ht="30" hidden="1" customHeight="1">
      <c r="A339" s="2" t="str">
        <f>表格2[[#This Row],[站名]]&amp;表格2[[#This Row],[城市]]</f>
        <v>土坂臺東縣</v>
      </c>
      <c r="B339" s="1" t="s">
        <v>1319</v>
      </c>
      <c r="C339" s="1" t="s">
        <v>1320</v>
      </c>
      <c r="D339" s="1">
        <v>22.453099999999999</v>
      </c>
      <c r="E339" s="1">
        <v>120.88760000000001</v>
      </c>
      <c r="F339" s="1" t="s">
        <v>1321</v>
      </c>
      <c r="G339" s="1" t="s">
        <v>2553</v>
      </c>
      <c r="H339" s="1" t="s">
        <v>1196</v>
      </c>
      <c r="I339" s="1" t="s">
        <v>1322</v>
      </c>
      <c r="J339" s="1" t="s">
        <v>1323</v>
      </c>
      <c r="K339" s="2">
        <v>43623</v>
      </c>
      <c r="L339" s="3" t="str">
        <f>_xlfn.XLOOKUP(A:A,Gemini建議!A:A,Gemini建議!B:B,"")</f>
        <v/>
      </c>
      <c r="M339" s="1"/>
      <c r="N339" s="1"/>
    </row>
    <row r="340" spans="1:14" ht="30" hidden="1" customHeight="1">
      <c r="A340" s="2" t="str">
        <f>表格2[[#This Row],[站名]]&amp;表格2[[#This Row],[城市]]</f>
        <v>達仁林場臺東縣</v>
      </c>
      <c r="B340" s="1" t="s">
        <v>1324</v>
      </c>
      <c r="C340" s="1" t="s">
        <v>1325</v>
      </c>
      <c r="D340" s="1">
        <v>22.264299999999999</v>
      </c>
      <c r="E340" s="1">
        <v>120.824</v>
      </c>
      <c r="F340" s="1" t="s">
        <v>1326</v>
      </c>
      <c r="G340" s="1" t="s">
        <v>2553</v>
      </c>
      <c r="H340" s="1" t="s">
        <v>1196</v>
      </c>
      <c r="I340" s="1" t="s">
        <v>1327</v>
      </c>
      <c r="J340" s="1"/>
      <c r="K340" s="2">
        <v>43930</v>
      </c>
      <c r="L340" s="3" t="str">
        <f>_xlfn.XLOOKUP(A:A,Gemini建議!A:A,Gemini建議!B:B,"")</f>
        <v/>
      </c>
      <c r="M340" s="1"/>
      <c r="N340" s="1"/>
    </row>
    <row r="341" spans="1:14" ht="30" hidden="1" customHeight="1">
      <c r="A341" s="2" t="str">
        <f>表格2[[#This Row],[站名]]&amp;表格2[[#This Row],[城市]]</f>
        <v>美和臺東縣</v>
      </c>
      <c r="B341" s="1" t="s">
        <v>1328</v>
      </c>
      <c r="C341" s="1" t="s">
        <v>1329</v>
      </c>
      <c r="D341" s="1">
        <v>22.682099999999998</v>
      </c>
      <c r="E341" s="1">
        <v>121.06019999999999</v>
      </c>
      <c r="F341" s="1" t="s">
        <v>1330</v>
      </c>
      <c r="G341" s="1" t="s">
        <v>2553</v>
      </c>
      <c r="H341" s="1" t="s">
        <v>1196</v>
      </c>
      <c r="I341" s="1" t="s">
        <v>1331</v>
      </c>
      <c r="J341" s="1"/>
      <c r="K341" s="2">
        <v>45693</v>
      </c>
      <c r="L341" s="3" t="str">
        <f>_xlfn.XLOOKUP(A:A,Gemini建議!A:A,Gemini建議!B:B,"")</f>
        <v/>
      </c>
      <c r="M341" s="1"/>
      <c r="N341" s="1"/>
    </row>
    <row r="342" spans="1:14" ht="30" hidden="1" customHeight="1">
      <c r="A342" s="2" t="str">
        <f>表格2[[#This Row],[站名]]&amp;表格2[[#This Row],[城市]]</f>
        <v>富岡臺東縣</v>
      </c>
      <c r="B342" s="1" t="s">
        <v>1332</v>
      </c>
      <c r="C342" s="1" t="s">
        <v>1333</v>
      </c>
      <c r="D342" s="1">
        <v>22.7925</v>
      </c>
      <c r="E342" s="1">
        <v>121.1927</v>
      </c>
      <c r="F342" s="1" t="s">
        <v>646</v>
      </c>
      <c r="G342" s="1" t="s">
        <v>2553</v>
      </c>
      <c r="H342" s="1" t="s">
        <v>1196</v>
      </c>
      <c r="I342" s="1" t="s">
        <v>1334</v>
      </c>
      <c r="J342" s="1"/>
      <c r="K342" s="2">
        <v>45693</v>
      </c>
      <c r="L342" s="3" t="str">
        <f>_xlfn.XLOOKUP(A:A,Gemini建議!A:A,Gemini建議!B:B,"")</f>
        <v/>
      </c>
      <c r="M342" s="1"/>
      <c r="N342" s="1"/>
    </row>
    <row r="343" spans="1:14" ht="30" hidden="1" customHeight="1">
      <c r="A343" s="2" t="str">
        <f>表格2[[#This Row],[站名]]&amp;表格2[[#This Row],[城市]]</f>
        <v>新蘭臺東縣</v>
      </c>
      <c r="B343" s="1" t="s">
        <v>1335</v>
      </c>
      <c r="C343" s="1" t="s">
        <v>1336</v>
      </c>
      <c r="D343" s="1">
        <v>22.869199999999999</v>
      </c>
      <c r="E343" s="1">
        <v>121.22320000000001</v>
      </c>
      <c r="F343" s="1" t="s">
        <v>33</v>
      </c>
      <c r="G343" s="1" t="s">
        <v>2553</v>
      </c>
      <c r="H343" s="1" t="s">
        <v>1196</v>
      </c>
      <c r="I343" s="1" t="s">
        <v>1337</v>
      </c>
      <c r="J343" s="1"/>
      <c r="K343" s="2">
        <v>45693</v>
      </c>
      <c r="L343" s="3" t="str">
        <f>_xlfn.XLOOKUP(A:A,Gemini建議!A:A,Gemini建議!B:B,"")</f>
        <v/>
      </c>
      <c r="M343" s="1"/>
      <c r="N343" s="1"/>
    </row>
    <row r="344" spans="1:14" ht="30" hidden="1" customHeight="1">
      <c r="A344" s="2" t="str">
        <f>表格2[[#This Row],[站名]]&amp;表格2[[#This Row],[城市]]</f>
        <v>興隆臺東縣</v>
      </c>
      <c r="B344" s="1" t="s">
        <v>1338</v>
      </c>
      <c r="C344" s="1" t="s">
        <v>1339</v>
      </c>
      <c r="D344" s="1">
        <v>22.913699999999999</v>
      </c>
      <c r="E344" s="1">
        <v>121.25749999999999</v>
      </c>
      <c r="F344" s="1" t="s">
        <v>346</v>
      </c>
      <c r="G344" s="1" t="s">
        <v>2553</v>
      </c>
      <c r="H344" s="1" t="s">
        <v>1196</v>
      </c>
      <c r="I344" s="1" t="s">
        <v>1340</v>
      </c>
      <c r="J344" s="1"/>
      <c r="K344" s="2">
        <v>45693</v>
      </c>
      <c r="L344" s="3" t="str">
        <f>_xlfn.XLOOKUP(A:A,Gemini建議!A:A,Gemini建議!B:B,"")</f>
        <v/>
      </c>
      <c r="M344" s="1"/>
      <c r="N344" s="1"/>
    </row>
    <row r="345" spans="1:14" ht="30" hidden="1" customHeight="1">
      <c r="A345" s="2" t="str">
        <f>表格2[[#This Row],[站名]]&amp;表格2[[#This Row],[城市]]</f>
        <v>叭嗡嗡臺東縣</v>
      </c>
      <c r="B345" s="1" t="s">
        <v>1341</v>
      </c>
      <c r="C345" s="1" t="s">
        <v>1342</v>
      </c>
      <c r="D345" s="1">
        <v>23.0471</v>
      </c>
      <c r="E345" s="1">
        <v>121.3432</v>
      </c>
      <c r="F345" s="1" t="s">
        <v>1024</v>
      </c>
      <c r="G345" s="1" t="s">
        <v>2553</v>
      </c>
      <c r="H345" s="1" t="s">
        <v>1196</v>
      </c>
      <c r="I345" s="1" t="s">
        <v>1343</v>
      </c>
      <c r="J345" s="1"/>
      <c r="K345" s="2">
        <v>45693</v>
      </c>
      <c r="L345" s="3" t="str">
        <f>_xlfn.XLOOKUP(A:A,Gemini建議!A:A,Gemini建議!B:B,"")</f>
        <v/>
      </c>
      <c r="M345" s="1"/>
      <c r="N345" s="1"/>
    </row>
    <row r="346" spans="1:14" ht="30" hidden="1" customHeight="1">
      <c r="A346" s="2" t="str">
        <f>表格2[[#This Row],[站名]]&amp;表格2[[#This Row],[城市]]</f>
        <v>白守蓮臺東縣</v>
      </c>
      <c r="B346" s="1" t="s">
        <v>1344</v>
      </c>
      <c r="C346" s="1" t="s">
        <v>1345</v>
      </c>
      <c r="D346" s="1">
        <v>23.126799999999999</v>
      </c>
      <c r="E346" s="1">
        <v>121.4019</v>
      </c>
      <c r="F346" s="1" t="s">
        <v>103</v>
      </c>
      <c r="G346" s="1" t="s">
        <v>2553</v>
      </c>
      <c r="H346" s="1" t="s">
        <v>1196</v>
      </c>
      <c r="I346" s="1" t="s">
        <v>1346</v>
      </c>
      <c r="J346" s="1"/>
      <c r="K346" s="2">
        <v>45693</v>
      </c>
      <c r="L346" s="3" t="str">
        <f>_xlfn.XLOOKUP(A:A,Gemini建議!A:A,Gemini建議!B:B,"")</f>
        <v/>
      </c>
      <c r="M346" s="1"/>
      <c r="N346" s="1"/>
    </row>
    <row r="347" spans="1:14" ht="30" hidden="1" customHeight="1">
      <c r="A347" s="2" t="str">
        <f>表格2[[#This Row],[站名]]&amp;表格2[[#This Row],[城市]]</f>
        <v>小港漁港臺東縣</v>
      </c>
      <c r="B347" s="1" t="s">
        <v>1347</v>
      </c>
      <c r="C347" s="1" t="s">
        <v>1348</v>
      </c>
      <c r="D347" s="1">
        <v>23.1586</v>
      </c>
      <c r="E347" s="1">
        <v>121.4004</v>
      </c>
      <c r="F347" s="1" t="s">
        <v>1330</v>
      </c>
      <c r="G347" s="1" t="s">
        <v>2553</v>
      </c>
      <c r="H347" s="1" t="s">
        <v>1196</v>
      </c>
      <c r="I347" s="1" t="s">
        <v>1349</v>
      </c>
      <c r="J347" s="1"/>
      <c r="K347" s="2">
        <v>45693</v>
      </c>
      <c r="L347" s="3" t="str">
        <f>_xlfn.XLOOKUP(A:A,Gemini建議!A:A,Gemini建議!B:B,"")</f>
        <v/>
      </c>
      <c r="M347" s="1"/>
      <c r="N347" s="1"/>
    </row>
    <row r="348" spans="1:14" ht="30" hidden="1" customHeight="1">
      <c r="A348" s="2" t="str">
        <f>表格2[[#This Row],[站名]]&amp;表格2[[#This Row],[城市]]</f>
        <v>長濱漁港臺東縣</v>
      </c>
      <c r="B348" s="1" t="s">
        <v>1350</v>
      </c>
      <c r="C348" s="1" t="s">
        <v>1351</v>
      </c>
      <c r="D348" s="1">
        <v>23.313600000000001</v>
      </c>
      <c r="E348" s="1">
        <v>121.46</v>
      </c>
      <c r="F348" s="1" t="s">
        <v>418</v>
      </c>
      <c r="G348" s="1" t="s">
        <v>2553</v>
      </c>
      <c r="H348" s="1" t="s">
        <v>1196</v>
      </c>
      <c r="I348" s="1" t="s">
        <v>1352</v>
      </c>
      <c r="J348" s="1"/>
      <c r="K348" s="2">
        <v>45693</v>
      </c>
      <c r="L348" s="3" t="str">
        <f>_xlfn.XLOOKUP(A:A,Gemini建議!A:A,Gemini建議!B:B,"")</f>
        <v/>
      </c>
      <c r="M348" s="1"/>
      <c r="N348" s="1"/>
    </row>
    <row r="349" spans="1:14" ht="30" hidden="1" customHeight="1">
      <c r="A349" s="2" t="str">
        <f>表格2[[#This Row],[站名]]&amp;表格2[[#This Row],[城市]]</f>
        <v>大禹嶺花蓮縣</v>
      </c>
      <c r="B349" s="1" t="s">
        <v>1353</v>
      </c>
      <c r="C349" s="1" t="s">
        <v>1354</v>
      </c>
      <c r="D349" s="1">
        <v>24.1861</v>
      </c>
      <c r="E349" s="1">
        <v>121.31610000000001</v>
      </c>
      <c r="F349" s="1" t="s">
        <v>1355</v>
      </c>
      <c r="G349" s="1" t="s">
        <v>2552</v>
      </c>
      <c r="H349" s="1" t="s">
        <v>1356</v>
      </c>
      <c r="I349" s="1" t="s">
        <v>1357</v>
      </c>
      <c r="J349" s="1"/>
      <c r="K349" s="2">
        <v>34656</v>
      </c>
      <c r="L349" s="3" t="str">
        <f>_xlfn.XLOOKUP(A:A,Gemini建議!A:A,Gemini建議!B:B,"")</f>
        <v/>
      </c>
      <c r="M349" s="1"/>
      <c r="N349" s="1"/>
    </row>
    <row r="350" spans="1:14" ht="30" customHeight="1">
      <c r="A350" s="2" t="str">
        <f>表格2[[#This Row],[站名]]&amp;表格2[[#This Row],[城市]]</f>
        <v>天祥花蓮縣</v>
      </c>
      <c r="B350" s="1" t="s">
        <v>1358</v>
      </c>
      <c r="C350" s="1" t="s">
        <v>1359</v>
      </c>
      <c r="D350" s="1">
        <v>24.179600000000001</v>
      </c>
      <c r="E350" s="1">
        <v>121.4956</v>
      </c>
      <c r="F350" s="1" t="s">
        <v>1360</v>
      </c>
      <c r="G350" s="1" t="s">
        <v>2552</v>
      </c>
      <c r="H350" s="1" t="s">
        <v>1356</v>
      </c>
      <c r="I350" s="1" t="s">
        <v>1361</v>
      </c>
      <c r="J350" s="1" t="s">
        <v>1362</v>
      </c>
      <c r="K350" s="2">
        <v>34877</v>
      </c>
      <c r="L350" s="3" t="str">
        <f>_xlfn.XLOOKUP(A:A,Gemini建議!A:A,Gemini建議!B:B,"")</f>
        <v>高海拔測站 (全)</v>
      </c>
      <c r="M350" s="1"/>
      <c r="N350" s="1"/>
    </row>
    <row r="351" spans="1:14" ht="30" hidden="1" customHeight="1">
      <c r="A351" s="2" t="str">
        <f>表格2[[#This Row],[站名]]&amp;表格2[[#This Row],[城市]]</f>
        <v>鯉魚潭花蓮縣</v>
      </c>
      <c r="B351" s="1" t="s">
        <v>1363</v>
      </c>
      <c r="C351" s="1" t="s">
        <v>1364</v>
      </c>
      <c r="D351" s="1">
        <v>23.935600000000001</v>
      </c>
      <c r="E351" s="1">
        <v>121.5089</v>
      </c>
      <c r="F351" s="1" t="s">
        <v>1365</v>
      </c>
      <c r="G351" s="1" t="s">
        <v>2552</v>
      </c>
      <c r="H351" s="1" t="s">
        <v>1356</v>
      </c>
      <c r="I351" s="1" t="s">
        <v>1366</v>
      </c>
      <c r="J351" s="1" t="s">
        <v>1367</v>
      </c>
      <c r="K351" s="2">
        <v>34822</v>
      </c>
      <c r="L351" s="3" t="str">
        <f>_xlfn.XLOOKUP(A:A,Gemini建議!A:A,Gemini建議!B:B,"")</f>
        <v/>
      </c>
      <c r="M351" s="1"/>
      <c r="N351" s="1"/>
    </row>
    <row r="352" spans="1:14" ht="30" hidden="1" customHeight="1">
      <c r="A352" s="2" t="str">
        <f>表格2[[#This Row],[站名]]&amp;表格2[[#This Row],[城市]]</f>
        <v>西林花蓮縣</v>
      </c>
      <c r="B352" s="1" t="s">
        <v>1368</v>
      </c>
      <c r="C352" s="1" t="s">
        <v>1369</v>
      </c>
      <c r="D352" s="1">
        <v>23.811900000000001</v>
      </c>
      <c r="E352" s="1">
        <v>121.4415</v>
      </c>
      <c r="F352" s="1" t="s">
        <v>409</v>
      </c>
      <c r="G352" s="1" t="s">
        <v>2552</v>
      </c>
      <c r="H352" s="1" t="s">
        <v>1356</v>
      </c>
      <c r="I352" s="1" t="s">
        <v>1370</v>
      </c>
      <c r="J352" s="1" t="s">
        <v>1371</v>
      </c>
      <c r="K352" s="2">
        <v>40360</v>
      </c>
      <c r="L352" s="3" t="str">
        <f>_xlfn.XLOOKUP(A:A,Gemini建議!A:A,Gemini建議!B:B,"")</f>
        <v/>
      </c>
      <c r="M352" s="1"/>
      <c r="N352" s="1"/>
    </row>
    <row r="353" spans="1:14" ht="30" hidden="1" customHeight="1">
      <c r="A353" s="2" t="str">
        <f>表格2[[#This Row],[站名]]&amp;表格2[[#This Row],[城市]]</f>
        <v>光復花蓮縣</v>
      </c>
      <c r="B353" s="1" t="s">
        <v>1372</v>
      </c>
      <c r="C353" s="1" t="s">
        <v>1373</v>
      </c>
      <c r="D353" s="1">
        <v>23.660699999999999</v>
      </c>
      <c r="E353" s="1">
        <v>121.425</v>
      </c>
      <c r="F353" s="1" t="s">
        <v>334</v>
      </c>
      <c r="G353" s="1" t="s">
        <v>2552</v>
      </c>
      <c r="H353" s="1" t="s">
        <v>1356</v>
      </c>
      <c r="I353" s="1" t="s">
        <v>1374</v>
      </c>
      <c r="J353" s="1" t="s">
        <v>1375</v>
      </c>
      <c r="K353" s="2">
        <v>34822</v>
      </c>
      <c r="L353" s="3" t="str">
        <f>_xlfn.XLOOKUP(A:A,Gemini建議!A:A,Gemini建議!B:B,"")</f>
        <v/>
      </c>
      <c r="M353" s="1"/>
      <c r="N353" s="1"/>
    </row>
    <row r="354" spans="1:14" ht="30" hidden="1" customHeight="1">
      <c r="A354" s="2" t="str">
        <f>表格2[[#This Row],[站名]]&amp;表格2[[#This Row],[城市]]</f>
        <v>月眉山花蓮縣</v>
      </c>
      <c r="B354" s="1" t="s">
        <v>1376</v>
      </c>
      <c r="C354" s="1" t="s">
        <v>1377</v>
      </c>
      <c r="D354" s="1">
        <v>23.809899999999999</v>
      </c>
      <c r="E354" s="1">
        <v>121.5398</v>
      </c>
      <c r="F354" s="1" t="s">
        <v>1378</v>
      </c>
      <c r="G354" s="1" t="s">
        <v>2552</v>
      </c>
      <c r="H354" s="1" t="s">
        <v>1356</v>
      </c>
      <c r="I354" s="1" t="s">
        <v>1379</v>
      </c>
      <c r="J354" s="1" t="s">
        <v>1380</v>
      </c>
      <c r="K354" s="2">
        <v>36749</v>
      </c>
      <c r="L354" s="3" t="str">
        <f>_xlfn.XLOOKUP(A:A,Gemini建議!A:A,Gemini建議!B:B,"")</f>
        <v/>
      </c>
      <c r="M354" s="1"/>
      <c r="N354" s="1"/>
    </row>
    <row r="355" spans="1:14" ht="30" customHeight="1">
      <c r="A355" s="2" t="str">
        <f>表格2[[#This Row],[站名]]&amp;表格2[[#This Row],[城市]]</f>
        <v>水源花蓮縣</v>
      </c>
      <c r="B355" s="1" t="s">
        <v>1381</v>
      </c>
      <c r="C355" s="1" t="s">
        <v>1382</v>
      </c>
      <c r="D355" s="1">
        <v>23.991900000000001</v>
      </c>
      <c r="E355" s="1">
        <v>121.5372</v>
      </c>
      <c r="F355" s="1" t="s">
        <v>1383</v>
      </c>
      <c r="G355" s="1" t="s">
        <v>2552</v>
      </c>
      <c r="H355" s="1" t="s">
        <v>1356</v>
      </c>
      <c r="I355" s="1" t="s">
        <v>1384</v>
      </c>
      <c r="J355" s="1" t="s">
        <v>1385</v>
      </c>
      <c r="K355" s="2">
        <v>36745</v>
      </c>
      <c r="L355" s="3" t="str">
        <f>_xlfn.XLOOKUP(A:A,Gemini建議!A:A,Gemini建議!B:B,"")</f>
        <v>高海拔測站 (全)</v>
      </c>
      <c r="M355" s="1"/>
      <c r="N355" s="1"/>
    </row>
    <row r="356" spans="1:14" ht="30" hidden="1" customHeight="1">
      <c r="A356" s="2" t="str">
        <f>表格2[[#This Row],[站名]]&amp;表格2[[#This Row],[城市]]</f>
        <v>和中花蓮縣</v>
      </c>
      <c r="B356" s="1" t="s">
        <v>1386</v>
      </c>
      <c r="C356" s="1" t="s">
        <v>1387</v>
      </c>
      <c r="D356" s="1">
        <v>24.2668</v>
      </c>
      <c r="E356" s="1">
        <v>121.741</v>
      </c>
      <c r="F356" s="1" t="s">
        <v>772</v>
      </c>
      <c r="G356" s="1" t="s">
        <v>2552</v>
      </c>
      <c r="H356" s="1" t="s">
        <v>1356</v>
      </c>
      <c r="I356" s="1" t="s">
        <v>1388</v>
      </c>
      <c r="J356" s="1" t="s">
        <v>1389</v>
      </c>
      <c r="K356" s="2">
        <v>38089</v>
      </c>
      <c r="L356" s="3" t="str">
        <f>_xlfn.XLOOKUP(A:A,Gemini建議!A:A,Gemini建議!B:B,"")</f>
        <v/>
      </c>
      <c r="M356" s="1"/>
      <c r="N356" s="1"/>
    </row>
    <row r="357" spans="1:14" ht="30" hidden="1" customHeight="1">
      <c r="A357" s="2" t="str">
        <f>表格2[[#This Row],[站名]]&amp;表格2[[#This Row],[城市]]</f>
        <v>大坑花蓮縣</v>
      </c>
      <c r="B357" s="1" t="s">
        <v>482</v>
      </c>
      <c r="C357" s="1" t="s">
        <v>1390</v>
      </c>
      <c r="D357" s="1">
        <v>23.880600000000001</v>
      </c>
      <c r="E357" s="1">
        <v>121.58199999999999</v>
      </c>
      <c r="F357" s="1" t="s">
        <v>1281</v>
      </c>
      <c r="G357" s="1" t="s">
        <v>2552</v>
      </c>
      <c r="H357" s="1" t="s">
        <v>1356</v>
      </c>
      <c r="I357" s="1" t="s">
        <v>1391</v>
      </c>
      <c r="J357" s="1" t="s">
        <v>1392</v>
      </c>
      <c r="K357" s="2">
        <v>38085</v>
      </c>
      <c r="L357" s="3" t="str">
        <f>_xlfn.XLOOKUP(A:A,Gemini建議!A:A,Gemini建議!B:B,"")</f>
        <v/>
      </c>
      <c r="M357" s="1"/>
      <c r="N357" s="1"/>
    </row>
    <row r="358" spans="1:14" ht="30" hidden="1" customHeight="1">
      <c r="A358" s="2" t="str">
        <f>表格2[[#This Row],[站名]]&amp;表格2[[#This Row],[城市]]</f>
        <v>水璉花蓮縣</v>
      </c>
      <c r="B358" s="1" t="s">
        <v>1393</v>
      </c>
      <c r="C358" s="1" t="s">
        <v>1394</v>
      </c>
      <c r="D358" s="1">
        <v>23.7971</v>
      </c>
      <c r="E358" s="1">
        <v>121.5425</v>
      </c>
      <c r="F358" s="1" t="s">
        <v>1395</v>
      </c>
      <c r="G358" s="1" t="s">
        <v>2552</v>
      </c>
      <c r="H358" s="1" t="s">
        <v>1356</v>
      </c>
      <c r="I358" s="1" t="s">
        <v>1396</v>
      </c>
      <c r="J358" s="1" t="s">
        <v>1397</v>
      </c>
      <c r="K358" s="2">
        <v>38089</v>
      </c>
      <c r="L358" s="3" t="str">
        <f>_xlfn.XLOOKUP(A:A,Gemini建議!A:A,Gemini建議!B:B,"")</f>
        <v/>
      </c>
      <c r="M358" s="1"/>
      <c r="N358" s="1"/>
    </row>
    <row r="359" spans="1:14" ht="30" customHeight="1">
      <c r="A359" s="2" t="str">
        <f>表格2[[#This Row],[站名]]&amp;表格2[[#This Row],[城市]]</f>
        <v>鳳林山花蓮縣</v>
      </c>
      <c r="B359" s="1" t="s">
        <v>1398</v>
      </c>
      <c r="C359" s="1" t="s">
        <v>1399</v>
      </c>
      <c r="D359" s="1">
        <v>23.735299999999999</v>
      </c>
      <c r="E359" s="1">
        <v>121.42010000000001</v>
      </c>
      <c r="F359" s="1" t="s">
        <v>1400</v>
      </c>
      <c r="G359" s="1" t="s">
        <v>2552</v>
      </c>
      <c r="H359" s="1" t="s">
        <v>1356</v>
      </c>
      <c r="I359" s="1" t="s">
        <v>1401</v>
      </c>
      <c r="J359" s="1" t="s">
        <v>1402</v>
      </c>
      <c r="K359" s="2">
        <v>38103</v>
      </c>
      <c r="L359" s="3" t="str">
        <f>_xlfn.XLOOKUP(A:A,Gemini建議!A:A,Gemini建議!B:B,"")</f>
        <v>高海拔測站 (全)</v>
      </c>
      <c r="M359" s="1"/>
      <c r="N359" s="1"/>
    </row>
    <row r="360" spans="1:14" ht="30" customHeight="1">
      <c r="A360" s="2" t="str">
        <f>表格2[[#This Row],[站名]]&amp;表格2[[#This Row],[城市]]</f>
        <v>加路蘭山花蓮縣</v>
      </c>
      <c r="B360" s="1" t="s">
        <v>1403</v>
      </c>
      <c r="C360" s="1" t="s">
        <v>1404</v>
      </c>
      <c r="D360" s="1">
        <v>23.6829</v>
      </c>
      <c r="E360" s="1">
        <v>121.5274</v>
      </c>
      <c r="F360" s="1" t="s">
        <v>1405</v>
      </c>
      <c r="G360" s="1" t="s">
        <v>2552</v>
      </c>
      <c r="H360" s="1" t="s">
        <v>1356</v>
      </c>
      <c r="I360" s="1" t="s">
        <v>1406</v>
      </c>
      <c r="J360" s="1" t="s">
        <v>1407</v>
      </c>
      <c r="K360" s="2">
        <v>38089</v>
      </c>
      <c r="L360" s="3" t="str">
        <f>_xlfn.XLOOKUP(A:A,Gemini建議!A:A,Gemini建議!B:B,"")</f>
        <v>高海拔測站 (全)</v>
      </c>
      <c r="M360" s="1"/>
      <c r="N360" s="1"/>
    </row>
    <row r="361" spans="1:14" ht="30" hidden="1" customHeight="1">
      <c r="A361" s="2" t="str">
        <f>表格2[[#This Row],[站名]]&amp;表格2[[#This Row],[城市]]</f>
        <v>豐濱花蓮縣</v>
      </c>
      <c r="B361" s="1" t="s">
        <v>1408</v>
      </c>
      <c r="C361" s="1" t="s">
        <v>1409</v>
      </c>
      <c r="D361" s="1">
        <v>23.5839</v>
      </c>
      <c r="E361" s="1">
        <v>121.51479999999999</v>
      </c>
      <c r="F361" s="1" t="s">
        <v>1410</v>
      </c>
      <c r="G361" s="1" t="s">
        <v>2552</v>
      </c>
      <c r="H361" s="1" t="s">
        <v>1356</v>
      </c>
      <c r="I361" s="1" t="s">
        <v>1411</v>
      </c>
      <c r="J361" s="1" t="s">
        <v>1412</v>
      </c>
      <c r="K361" s="2">
        <v>38089</v>
      </c>
      <c r="L361" s="3" t="str">
        <f>_xlfn.XLOOKUP(A:A,Gemini建議!A:A,Gemini建議!B:B,"")</f>
        <v/>
      </c>
      <c r="M361" s="1"/>
      <c r="N361" s="1"/>
    </row>
    <row r="362" spans="1:14" ht="30" hidden="1" customHeight="1">
      <c r="A362" s="2" t="str">
        <f>表格2[[#This Row],[站名]]&amp;表格2[[#This Row],[城市]]</f>
        <v>靜浦花蓮縣</v>
      </c>
      <c r="B362" s="1" t="s">
        <v>1413</v>
      </c>
      <c r="C362" s="1" t="s">
        <v>1414</v>
      </c>
      <c r="D362" s="1">
        <v>23.455200000000001</v>
      </c>
      <c r="E362" s="1">
        <v>121.495</v>
      </c>
      <c r="F362" s="1" t="s">
        <v>657</v>
      </c>
      <c r="G362" s="1" t="s">
        <v>2552</v>
      </c>
      <c r="H362" s="1" t="s">
        <v>1356</v>
      </c>
      <c r="I362" s="1" t="s">
        <v>1415</v>
      </c>
      <c r="J362" s="1" t="s">
        <v>1416</v>
      </c>
      <c r="K362" s="2">
        <v>35550</v>
      </c>
      <c r="L362" s="3" t="str">
        <f>_xlfn.XLOOKUP(A:A,Gemini建議!A:A,Gemini建議!B:B,"")</f>
        <v/>
      </c>
      <c r="M362" s="1"/>
      <c r="N362" s="1"/>
    </row>
    <row r="363" spans="1:14" ht="30" hidden="1" customHeight="1">
      <c r="A363" s="2" t="str">
        <f>表格2[[#This Row],[站名]]&amp;表格2[[#This Row],[城市]]</f>
        <v>富里花蓮縣</v>
      </c>
      <c r="B363" s="1" t="s">
        <v>1417</v>
      </c>
      <c r="C363" s="1" t="s">
        <v>1418</v>
      </c>
      <c r="D363" s="1">
        <v>23.171600000000002</v>
      </c>
      <c r="E363" s="1">
        <v>121.24939999999999</v>
      </c>
      <c r="F363" s="1" t="s">
        <v>1419</v>
      </c>
      <c r="G363" s="1" t="s">
        <v>2552</v>
      </c>
      <c r="H363" s="1" t="s">
        <v>1356</v>
      </c>
      <c r="I363" s="1" t="s">
        <v>1420</v>
      </c>
      <c r="J363" s="1"/>
      <c r="K363" s="2">
        <v>43651</v>
      </c>
      <c r="L363" s="3" t="str">
        <f>_xlfn.XLOOKUP(A:A,Gemini建議!A:A,Gemini建議!B:B,"")</f>
        <v/>
      </c>
      <c r="M363" s="1"/>
      <c r="N363" s="1"/>
    </row>
    <row r="364" spans="1:14" ht="30" hidden="1" customHeight="1">
      <c r="A364" s="2" t="str">
        <f>表格2[[#This Row],[站名]]&amp;表格2[[#This Row],[城市]]</f>
        <v>花蓮漁港花蓮縣</v>
      </c>
      <c r="B364" s="1" t="s">
        <v>1421</v>
      </c>
      <c r="C364" s="1" t="s">
        <v>1422</v>
      </c>
      <c r="D364" s="1">
        <v>23.9953</v>
      </c>
      <c r="E364" s="1">
        <v>121.6383</v>
      </c>
      <c r="F364" s="1" t="s">
        <v>1056</v>
      </c>
      <c r="G364" s="1" t="s">
        <v>2552</v>
      </c>
      <c r="H364" s="1" t="s">
        <v>1356</v>
      </c>
      <c r="I364" s="1" t="s">
        <v>1423</v>
      </c>
      <c r="J364" s="1"/>
      <c r="K364" s="2">
        <v>45693</v>
      </c>
      <c r="L364" s="3" t="str">
        <f>_xlfn.XLOOKUP(A:A,Gemini建議!A:A,Gemini建議!B:B,"")</f>
        <v/>
      </c>
      <c r="M364" s="1"/>
      <c r="N364" s="1"/>
    </row>
    <row r="365" spans="1:14" ht="30" hidden="1" customHeight="1">
      <c r="A365" s="2" t="str">
        <f>表格2[[#This Row],[站名]]&amp;表格2[[#This Row],[城市]]</f>
        <v>加灣花蓮縣</v>
      </c>
      <c r="B365" s="1" t="s">
        <v>1424</v>
      </c>
      <c r="C365" s="1" t="s">
        <v>1425</v>
      </c>
      <c r="D365" s="1">
        <v>24.082000000000001</v>
      </c>
      <c r="E365" s="1">
        <v>121.60890000000001</v>
      </c>
      <c r="F365" s="1" t="s">
        <v>653</v>
      </c>
      <c r="G365" s="1" t="s">
        <v>2552</v>
      </c>
      <c r="H365" s="1" t="s">
        <v>1356</v>
      </c>
      <c r="I365" s="1" t="s">
        <v>1426</v>
      </c>
      <c r="J365" s="1"/>
      <c r="K365" s="2">
        <v>45693</v>
      </c>
      <c r="L365" s="3" t="str">
        <f>_xlfn.XLOOKUP(A:A,Gemini建議!A:A,Gemini建議!B:B,"")</f>
        <v/>
      </c>
      <c r="M365" s="1"/>
      <c r="N365" s="1"/>
    </row>
    <row r="366" spans="1:14" ht="30" hidden="1" customHeight="1">
      <c r="A366" s="2" t="str">
        <f>表格2[[#This Row],[站名]]&amp;表格2[[#This Row],[城市]]</f>
        <v>鹽寮花蓮縣</v>
      </c>
      <c r="B366" s="1" t="s">
        <v>1427</v>
      </c>
      <c r="C366" s="1" t="s">
        <v>1428</v>
      </c>
      <c r="D366" s="1">
        <v>23.845600000000001</v>
      </c>
      <c r="E366" s="1">
        <v>121.59269999999999</v>
      </c>
      <c r="F366" s="1" t="s">
        <v>67</v>
      </c>
      <c r="G366" s="1" t="s">
        <v>2552</v>
      </c>
      <c r="H366" s="1" t="s">
        <v>1356</v>
      </c>
      <c r="I366" s="1" t="s">
        <v>1429</v>
      </c>
      <c r="J366" s="1"/>
      <c r="K366" s="2">
        <v>45712</v>
      </c>
      <c r="L366" s="3" t="str">
        <f>_xlfn.XLOOKUP(A:A,Gemini建議!A:A,Gemini建議!B:B,"")</f>
        <v/>
      </c>
      <c r="M366" s="1"/>
      <c r="N366" s="1"/>
    </row>
    <row r="367" spans="1:14" ht="30" customHeight="1">
      <c r="A367" s="2" t="str">
        <f>表格2[[#This Row],[站名]]&amp;表格2[[#This Row],[城市]]</f>
        <v>秀林花蓮縣</v>
      </c>
      <c r="B367" s="1" t="s">
        <v>1430</v>
      </c>
      <c r="C367" s="1" t="s">
        <v>1431</v>
      </c>
      <c r="D367" s="1">
        <v>24.302900000000001</v>
      </c>
      <c r="E367" s="1">
        <v>121.7311</v>
      </c>
      <c r="F367" s="1" t="s">
        <v>1432</v>
      </c>
      <c r="G367" s="1" t="s">
        <v>2552</v>
      </c>
      <c r="H367" s="1" t="s">
        <v>1356</v>
      </c>
      <c r="I367" s="1" t="s">
        <v>1433</v>
      </c>
      <c r="J367" s="1"/>
      <c r="K367" s="2">
        <v>45806</v>
      </c>
      <c r="L367" s="3" t="str">
        <f>_xlfn.XLOOKUP(A:A,Gemini建議!A:A,Gemini建議!B:B,"")</f>
        <v>高海拔測站 (全)</v>
      </c>
      <c r="M367" s="1"/>
      <c r="N367" s="1"/>
    </row>
    <row r="368" spans="1:14" ht="30" hidden="1" customHeight="1">
      <c r="A368" s="2" t="str">
        <f>表格2[[#This Row],[站名]]&amp;表格2[[#This Row],[城市]]</f>
        <v>和仁花蓮縣</v>
      </c>
      <c r="B368" s="1" t="s">
        <v>1434</v>
      </c>
      <c r="C368" s="1" t="s">
        <v>1435</v>
      </c>
      <c r="D368" s="1">
        <v>24.241399999999999</v>
      </c>
      <c r="E368" s="1">
        <v>121.71250000000001</v>
      </c>
      <c r="F368" s="1" t="s">
        <v>1436</v>
      </c>
      <c r="G368" s="1" t="s">
        <v>2552</v>
      </c>
      <c r="H368" s="1" t="s">
        <v>1356</v>
      </c>
      <c r="I368" s="1" t="s">
        <v>1437</v>
      </c>
      <c r="J368" s="1"/>
      <c r="K368" s="2">
        <v>45806</v>
      </c>
      <c r="L368" s="3" t="str">
        <f>_xlfn.XLOOKUP(A:A,Gemini建議!A:A,Gemini建議!B:B,"")</f>
        <v/>
      </c>
      <c r="M368" s="1"/>
      <c r="N368" s="1"/>
    </row>
    <row r="369" spans="1:14" ht="30" customHeight="1">
      <c r="A369" s="2" t="str">
        <f>表格2[[#This Row],[站名]]&amp;表格2[[#This Row],[城市]]</f>
        <v>立霧山花蓮縣</v>
      </c>
      <c r="B369" s="1" t="s">
        <v>1438</v>
      </c>
      <c r="C369" s="1" t="s">
        <v>1439</v>
      </c>
      <c r="D369" s="1">
        <v>24.183299999999999</v>
      </c>
      <c r="E369" s="1">
        <v>121.64190000000001</v>
      </c>
      <c r="F369" s="1" t="s">
        <v>1440</v>
      </c>
      <c r="G369" s="1" t="s">
        <v>2552</v>
      </c>
      <c r="H369" s="1" t="s">
        <v>1356</v>
      </c>
      <c r="I369" s="1" t="s">
        <v>1441</v>
      </c>
      <c r="J369" s="1"/>
      <c r="K369" s="2">
        <v>45828</v>
      </c>
      <c r="L369" s="3" t="str">
        <f>_xlfn.XLOOKUP(A:A,Gemini建議!A:A,Gemini建議!B:B,"")</f>
        <v>高海拔測站 (全)</v>
      </c>
      <c r="M369" s="1"/>
      <c r="N369" s="1"/>
    </row>
    <row r="370" spans="1:14" ht="30" customHeight="1">
      <c r="A370" s="2" t="str">
        <f>表格2[[#This Row],[站名]]&amp;表格2[[#This Row],[城市]]</f>
        <v>雙連埤宜蘭縣</v>
      </c>
      <c r="B370" s="1" t="s">
        <v>1442</v>
      </c>
      <c r="C370" s="1" t="s">
        <v>1443</v>
      </c>
      <c r="D370" s="1">
        <v>24.753</v>
      </c>
      <c r="E370" s="1">
        <v>121.6413</v>
      </c>
      <c r="F370" s="1" t="s">
        <v>1444</v>
      </c>
      <c r="G370" s="1" t="s">
        <v>2551</v>
      </c>
      <c r="H370" s="1" t="s">
        <v>1445</v>
      </c>
      <c r="I370" s="1" t="s">
        <v>1446</v>
      </c>
      <c r="J370" s="1" t="s">
        <v>1447</v>
      </c>
      <c r="K370" s="2">
        <v>40179</v>
      </c>
      <c r="L370" s="3" t="str">
        <f>_xlfn.XLOOKUP(A:A,Gemini建議!A:A,Gemini建議!B:B,"")</f>
        <v>高海拔測站 (全)</v>
      </c>
      <c r="M370" s="1"/>
      <c r="N370" s="1"/>
    </row>
    <row r="371" spans="1:14" ht="30" hidden="1" customHeight="1">
      <c r="A371" s="2" t="str">
        <f>表格2[[#This Row],[站名]]&amp;表格2[[#This Row],[城市]]</f>
        <v>礁溪宜蘭縣</v>
      </c>
      <c r="B371" s="1" t="s">
        <v>1448</v>
      </c>
      <c r="C371" s="1" t="s">
        <v>1449</v>
      </c>
      <c r="D371" s="1">
        <v>24.817499999999999</v>
      </c>
      <c r="E371" s="1">
        <v>121.76560000000001</v>
      </c>
      <c r="F371" s="1" t="s">
        <v>817</v>
      </c>
      <c r="G371" s="1" t="s">
        <v>2551</v>
      </c>
      <c r="H371" s="1" t="s">
        <v>1445</v>
      </c>
      <c r="I371" s="1" t="s">
        <v>1450</v>
      </c>
      <c r="J371" s="1" t="s">
        <v>1451</v>
      </c>
      <c r="K371" s="2">
        <v>34815</v>
      </c>
      <c r="L371" s="3" t="str">
        <f>_xlfn.XLOOKUP(A:A,Gemini建議!A:A,Gemini建議!B:B,"")</f>
        <v/>
      </c>
      <c r="M371" s="1"/>
      <c r="N371" s="1"/>
    </row>
    <row r="372" spans="1:14" ht="30" hidden="1" customHeight="1">
      <c r="A372" s="2" t="str">
        <f>表格2[[#This Row],[站名]]&amp;表格2[[#This Row],[城市]]</f>
        <v>玉蘭宜蘭縣</v>
      </c>
      <c r="B372" s="1" t="s">
        <v>1452</v>
      </c>
      <c r="C372" s="1" t="s">
        <v>1453</v>
      </c>
      <c r="D372" s="1">
        <v>24.6753</v>
      </c>
      <c r="E372" s="1">
        <v>121.58710000000001</v>
      </c>
      <c r="F372" s="1" t="s">
        <v>1454</v>
      </c>
      <c r="G372" s="1" t="s">
        <v>2551</v>
      </c>
      <c r="H372" s="1" t="s">
        <v>1445</v>
      </c>
      <c r="I372" s="1" t="s">
        <v>1455</v>
      </c>
      <c r="J372" s="1" t="s">
        <v>1456</v>
      </c>
      <c r="K372" s="2">
        <v>34908</v>
      </c>
      <c r="L372" s="3" t="str">
        <f>_xlfn.XLOOKUP(A:A,Gemini建議!A:A,Gemini建議!B:B,"")</f>
        <v/>
      </c>
      <c r="M372" s="1"/>
      <c r="N372" s="1"/>
    </row>
    <row r="373" spans="1:14" ht="30" customHeight="1">
      <c r="A373" s="2" t="str">
        <f>表格2[[#This Row],[站名]]&amp;表格2[[#This Row],[城市]]</f>
        <v>太平山宜蘭縣</v>
      </c>
      <c r="B373" s="1" t="s">
        <v>1457</v>
      </c>
      <c r="C373" s="1" t="s">
        <v>1458</v>
      </c>
      <c r="D373" s="1">
        <v>24.505500000000001</v>
      </c>
      <c r="E373" s="1">
        <v>121.5257</v>
      </c>
      <c r="F373" s="1" t="s">
        <v>1459</v>
      </c>
      <c r="G373" s="1" t="s">
        <v>2551</v>
      </c>
      <c r="H373" s="1" t="s">
        <v>1445</v>
      </c>
      <c r="I373" s="1" t="s">
        <v>1460</v>
      </c>
      <c r="J373" s="1" t="s">
        <v>1461</v>
      </c>
      <c r="K373" s="2">
        <v>34848</v>
      </c>
      <c r="L373" s="3" t="str">
        <f>_xlfn.XLOOKUP(A:A,Gemini建議!A:A,Gemini建議!B:B,"")</f>
        <v>高海拔測站 (全)</v>
      </c>
      <c r="M373" s="1"/>
      <c r="N373" s="1"/>
    </row>
    <row r="374" spans="1:14" ht="30" customHeight="1">
      <c r="A374" s="2" t="str">
        <f>表格2[[#This Row],[站名]]&amp;表格2[[#This Row],[城市]]</f>
        <v>南山宜蘭縣</v>
      </c>
      <c r="B374" s="1" t="s">
        <v>1462</v>
      </c>
      <c r="C374" s="1" t="s">
        <v>1463</v>
      </c>
      <c r="D374" s="1">
        <v>24.4374</v>
      </c>
      <c r="E374" s="1">
        <v>121.3817</v>
      </c>
      <c r="F374" s="1" t="s">
        <v>1464</v>
      </c>
      <c r="G374" s="1" t="s">
        <v>2551</v>
      </c>
      <c r="H374" s="1" t="s">
        <v>1445</v>
      </c>
      <c r="I374" s="1" t="s">
        <v>1465</v>
      </c>
      <c r="J374" s="1" t="s">
        <v>1466</v>
      </c>
      <c r="K374" s="2">
        <v>43182</v>
      </c>
      <c r="L374" s="3" t="str">
        <f>_xlfn.XLOOKUP(A:A,Gemini建議!A:A,Gemini建議!B:B,"")</f>
        <v>高海拔測站 (全)</v>
      </c>
      <c r="M374" s="1"/>
      <c r="N374" s="1"/>
    </row>
    <row r="375" spans="1:14" ht="30" hidden="1" customHeight="1">
      <c r="A375" s="2" t="str">
        <f>表格2[[#This Row],[站名]]&amp;表格2[[#This Row],[城市]]</f>
        <v>龜山島宜蘭縣</v>
      </c>
      <c r="B375" s="1" t="s">
        <v>1467</v>
      </c>
      <c r="C375" s="1" t="s">
        <v>1468</v>
      </c>
      <c r="D375" s="1">
        <v>24.841699999999999</v>
      </c>
      <c r="E375" s="1">
        <v>121.95310000000001</v>
      </c>
      <c r="F375" s="1" t="s">
        <v>1469</v>
      </c>
      <c r="G375" s="1" t="s">
        <v>2551</v>
      </c>
      <c r="H375" s="1" t="s">
        <v>1445</v>
      </c>
      <c r="I375" s="1" t="s">
        <v>1470</v>
      </c>
      <c r="J375" s="1" t="s">
        <v>1471</v>
      </c>
      <c r="K375" s="2">
        <v>37512</v>
      </c>
      <c r="L375" s="3" t="str">
        <f>_xlfn.XLOOKUP(A:A,Gemini建議!A:A,Gemini建議!B:B,"")</f>
        <v/>
      </c>
      <c r="M375" s="1"/>
      <c r="N375" s="1"/>
    </row>
    <row r="376" spans="1:14" ht="30" hidden="1" customHeight="1">
      <c r="A376" s="2" t="str">
        <f>表格2[[#This Row],[站名]]&amp;表格2[[#This Row],[城市]]</f>
        <v>東澳宜蘭縣</v>
      </c>
      <c r="B376" s="1" t="s">
        <v>1472</v>
      </c>
      <c r="C376" s="1" t="s">
        <v>1473</v>
      </c>
      <c r="D376" s="1">
        <v>24.521999999999998</v>
      </c>
      <c r="E376" s="1">
        <v>121.83320000000001</v>
      </c>
      <c r="F376" s="1" t="s">
        <v>175</v>
      </c>
      <c r="G376" s="1" t="s">
        <v>2551</v>
      </c>
      <c r="H376" s="1" t="s">
        <v>1445</v>
      </c>
      <c r="I376" s="1" t="s">
        <v>1474</v>
      </c>
      <c r="J376" s="1" t="s">
        <v>1475</v>
      </c>
      <c r="K376" s="2">
        <v>38089</v>
      </c>
      <c r="L376" s="3" t="str">
        <f>_xlfn.XLOOKUP(A:A,Gemini建議!A:A,Gemini建議!B:B,"")</f>
        <v/>
      </c>
      <c r="M376" s="1"/>
      <c r="N376" s="1"/>
    </row>
    <row r="377" spans="1:14" ht="30" hidden="1" customHeight="1">
      <c r="A377" s="2" t="str">
        <f>表格2[[#This Row],[站名]]&amp;表格2[[#This Row],[城市]]</f>
        <v>南澳宜蘭縣</v>
      </c>
      <c r="B377" s="1" t="s">
        <v>1476</v>
      </c>
      <c r="C377" s="1" t="s">
        <v>1477</v>
      </c>
      <c r="D377" s="1">
        <v>24.449300000000001</v>
      </c>
      <c r="E377" s="1">
        <v>121.81019999999999</v>
      </c>
      <c r="F377" s="1" t="s">
        <v>224</v>
      </c>
      <c r="G377" s="1" t="s">
        <v>2551</v>
      </c>
      <c r="H377" s="1" t="s">
        <v>1445</v>
      </c>
      <c r="I377" s="1" t="s">
        <v>1478</v>
      </c>
      <c r="J377" s="1" t="s">
        <v>1479</v>
      </c>
      <c r="K377" s="2">
        <v>38579</v>
      </c>
      <c r="L377" s="3" t="str">
        <f>_xlfn.XLOOKUP(A:A,Gemini建議!A:A,Gemini建議!B:B,"")</f>
        <v/>
      </c>
      <c r="M377" s="1"/>
      <c r="N377" s="1"/>
    </row>
    <row r="378" spans="1:14" ht="30" hidden="1" customHeight="1">
      <c r="A378" s="2" t="str">
        <f>表格2[[#This Row],[站名]]&amp;表格2[[#This Row],[城市]]</f>
        <v>五結宜蘭縣</v>
      </c>
      <c r="B378" s="1" t="s">
        <v>1480</v>
      </c>
      <c r="C378" s="1" t="s">
        <v>1481</v>
      </c>
      <c r="D378" s="1">
        <v>24.686399999999999</v>
      </c>
      <c r="E378" s="1">
        <v>121.7979</v>
      </c>
      <c r="F378" s="1" t="s">
        <v>220</v>
      </c>
      <c r="G378" s="1" t="s">
        <v>2551</v>
      </c>
      <c r="H378" s="1" t="s">
        <v>1445</v>
      </c>
      <c r="I378" s="1" t="s">
        <v>1482</v>
      </c>
      <c r="J378" s="1" t="s">
        <v>1483</v>
      </c>
      <c r="K378" s="2">
        <v>40285</v>
      </c>
      <c r="L378" s="3" t="str">
        <f>_xlfn.XLOOKUP(A:A,Gemini建議!A:A,Gemini建議!B:B,"")</f>
        <v/>
      </c>
      <c r="M378" s="1"/>
      <c r="N378" s="1"/>
    </row>
    <row r="379" spans="1:14" ht="30" hidden="1" customHeight="1">
      <c r="A379" s="2" t="str">
        <f>表格2[[#This Row],[站名]]&amp;表格2[[#This Row],[城市]]</f>
        <v>頭城宜蘭縣</v>
      </c>
      <c r="B379" s="1" t="s">
        <v>1484</v>
      </c>
      <c r="C379" s="1" t="s">
        <v>1485</v>
      </c>
      <c r="D379" s="1">
        <v>24.853200000000001</v>
      </c>
      <c r="E379" s="1">
        <v>121.8308</v>
      </c>
      <c r="F379" s="1" t="s">
        <v>224</v>
      </c>
      <c r="G379" s="1" t="s">
        <v>2551</v>
      </c>
      <c r="H379" s="1" t="s">
        <v>1445</v>
      </c>
      <c r="I379" s="1" t="s">
        <v>1486</v>
      </c>
      <c r="J379" s="1" t="s">
        <v>1487</v>
      </c>
      <c r="K379" s="2">
        <v>43070</v>
      </c>
      <c r="L379" s="3" t="str">
        <f>_xlfn.XLOOKUP(A:A,Gemini建議!A:A,Gemini建議!B:B,"")</f>
        <v/>
      </c>
      <c r="M379" s="1"/>
      <c r="N379" s="1"/>
    </row>
    <row r="380" spans="1:14" ht="30" hidden="1" customHeight="1">
      <c r="A380" s="2" t="str">
        <f>表格2[[#This Row],[站名]]&amp;表格2[[#This Row],[城市]]</f>
        <v>大礁溪宜蘭縣</v>
      </c>
      <c r="B380" s="1" t="s">
        <v>1488</v>
      </c>
      <c r="C380" s="1" t="s">
        <v>1489</v>
      </c>
      <c r="D380" s="1">
        <v>24.791</v>
      </c>
      <c r="E380" s="1">
        <v>121.675</v>
      </c>
      <c r="F380" s="1" t="s">
        <v>1490</v>
      </c>
      <c r="G380" s="1" t="s">
        <v>2551</v>
      </c>
      <c r="H380" s="1" t="s">
        <v>1445</v>
      </c>
      <c r="I380" s="1" t="s">
        <v>1491</v>
      </c>
      <c r="J380" s="1" t="s">
        <v>1492</v>
      </c>
      <c r="K380" s="2">
        <v>43070</v>
      </c>
      <c r="L380" s="3" t="str">
        <f>_xlfn.XLOOKUP(A:A,Gemini建議!A:A,Gemini建議!B:B,"")</f>
        <v/>
      </c>
      <c r="M380" s="1"/>
      <c r="N380" s="1"/>
    </row>
    <row r="381" spans="1:14" ht="30" hidden="1" customHeight="1">
      <c r="A381" s="2" t="str">
        <f>表格2[[#This Row],[站名]]&amp;表格2[[#This Row],[城市]]</f>
        <v>北關宜蘭縣</v>
      </c>
      <c r="B381" s="1" t="s">
        <v>1493</v>
      </c>
      <c r="C381" s="1" t="s">
        <v>1494</v>
      </c>
      <c r="D381" s="1">
        <v>24.9072</v>
      </c>
      <c r="E381" s="1">
        <v>121.8734</v>
      </c>
      <c r="F381" s="1" t="s">
        <v>933</v>
      </c>
      <c r="G381" s="1" t="s">
        <v>2551</v>
      </c>
      <c r="H381" s="1" t="s">
        <v>1445</v>
      </c>
      <c r="I381" s="1" t="s">
        <v>1495</v>
      </c>
      <c r="J381" s="1" t="s">
        <v>1496</v>
      </c>
      <c r="K381" s="2">
        <v>44823</v>
      </c>
      <c r="L381" s="3" t="str">
        <f>_xlfn.XLOOKUP(A:A,Gemini建議!A:A,Gemini建議!B:B,"")</f>
        <v/>
      </c>
      <c r="M381" s="1"/>
      <c r="N381" s="1"/>
    </row>
    <row r="382" spans="1:14" ht="30" hidden="1" customHeight="1">
      <c r="A382" s="2" t="str">
        <f>表格2[[#This Row],[站名]]&amp;表格2[[#This Row],[城市]]</f>
        <v>三星宜蘭縣</v>
      </c>
      <c r="B382" s="1" t="s">
        <v>1497</v>
      </c>
      <c r="C382" s="1" t="s">
        <v>1498</v>
      </c>
      <c r="D382" s="1">
        <v>24.668099999999999</v>
      </c>
      <c r="E382" s="1">
        <v>121.65300000000001</v>
      </c>
      <c r="F382" s="1" t="s">
        <v>1499</v>
      </c>
      <c r="G382" s="1" t="s">
        <v>2551</v>
      </c>
      <c r="H382" s="1" t="s">
        <v>1445</v>
      </c>
      <c r="I382" s="1" t="s">
        <v>1500</v>
      </c>
      <c r="J382" s="1" t="s">
        <v>1501</v>
      </c>
      <c r="K382" s="2">
        <v>43070</v>
      </c>
      <c r="L382" s="3" t="str">
        <f>_xlfn.XLOOKUP(A:A,Gemini建議!A:A,Gemini建議!B:B,"")</f>
        <v/>
      </c>
      <c r="M382" s="1"/>
      <c r="N382" s="1"/>
    </row>
    <row r="383" spans="1:14" ht="30" hidden="1" customHeight="1">
      <c r="A383" s="2" t="str">
        <f>表格2[[#This Row],[站名]]&amp;表格2[[#This Row],[城市]]</f>
        <v>內城宜蘭縣</v>
      </c>
      <c r="B383" s="1" t="s">
        <v>1502</v>
      </c>
      <c r="C383" s="1" t="s">
        <v>1503</v>
      </c>
      <c r="D383" s="1">
        <v>24.7181</v>
      </c>
      <c r="E383" s="1">
        <v>121.68770000000001</v>
      </c>
      <c r="F383" s="1" t="s">
        <v>1504</v>
      </c>
      <c r="G383" s="1" t="s">
        <v>2551</v>
      </c>
      <c r="H383" s="1" t="s">
        <v>1445</v>
      </c>
      <c r="I383" s="1" t="s">
        <v>1505</v>
      </c>
      <c r="J383" s="1" t="s">
        <v>1506</v>
      </c>
      <c r="K383" s="2">
        <v>43070</v>
      </c>
      <c r="L383" s="3" t="str">
        <f>_xlfn.XLOOKUP(A:A,Gemini建議!A:A,Gemini建議!B:B,"")</f>
        <v/>
      </c>
      <c r="M383" s="1"/>
      <c r="N383" s="1"/>
    </row>
    <row r="384" spans="1:14" ht="30" hidden="1" customHeight="1">
      <c r="A384" s="2" t="str">
        <f>表格2[[#This Row],[站名]]&amp;表格2[[#This Row],[城市]]</f>
        <v>冬山宜蘭縣</v>
      </c>
      <c r="B384" s="1" t="s">
        <v>1507</v>
      </c>
      <c r="C384" s="1" t="s">
        <v>1508</v>
      </c>
      <c r="D384" s="1">
        <v>24.633700000000001</v>
      </c>
      <c r="E384" s="1">
        <v>121.7937</v>
      </c>
      <c r="F384" s="1" t="s">
        <v>1056</v>
      </c>
      <c r="G384" s="1" t="s">
        <v>2551</v>
      </c>
      <c r="H384" s="1" t="s">
        <v>1445</v>
      </c>
      <c r="I384" s="1" t="s">
        <v>1509</v>
      </c>
      <c r="J384" s="1" t="s">
        <v>1510</v>
      </c>
      <c r="K384" s="2">
        <v>43070</v>
      </c>
      <c r="L384" s="3" t="str">
        <f>_xlfn.XLOOKUP(A:A,Gemini建議!A:A,Gemini建議!B:B,"")</f>
        <v/>
      </c>
      <c r="M384" s="1"/>
      <c r="N384" s="1"/>
    </row>
    <row r="385" spans="1:14" ht="30" customHeight="1">
      <c r="A385" s="2" t="str">
        <f>表格2[[#This Row],[站名]]&amp;表格2[[#This Row],[城市]]</f>
        <v>羅東宜蘭縣</v>
      </c>
      <c r="B385" s="1" t="s">
        <v>1511</v>
      </c>
      <c r="C385" s="1" t="s">
        <v>1512</v>
      </c>
      <c r="D385" s="1">
        <v>24.681799999999999</v>
      </c>
      <c r="E385" s="1">
        <v>121.74930000000001</v>
      </c>
      <c r="F385" s="1" t="s">
        <v>94</v>
      </c>
      <c r="G385" s="1" t="s">
        <v>2551</v>
      </c>
      <c r="H385" s="1" t="s">
        <v>1445</v>
      </c>
      <c r="I385" s="1" t="s">
        <v>1513</v>
      </c>
      <c r="J385" s="1"/>
      <c r="K385" s="2">
        <v>43070</v>
      </c>
      <c r="L385" s="3" t="str">
        <f>_xlfn.XLOOKUP(A:A,Gemini建議!A:A,Gemini建議!B:B,"")</f>
        <v>低海拔代表站</v>
      </c>
      <c r="M385" s="1"/>
      <c r="N385" s="1"/>
    </row>
    <row r="386" spans="1:14" ht="30" customHeight="1">
      <c r="A386" s="2" t="str">
        <f>表格2[[#This Row],[站名]]&amp;表格2[[#This Row],[城市]]</f>
        <v>鶯子嶺宜蘭縣</v>
      </c>
      <c r="B386" s="1" t="s">
        <v>1514</v>
      </c>
      <c r="C386" s="1" t="s">
        <v>1515</v>
      </c>
      <c r="D386" s="1">
        <v>24.897500000000001</v>
      </c>
      <c r="E386" s="1">
        <v>121.7924</v>
      </c>
      <c r="F386" s="1" t="s">
        <v>1516</v>
      </c>
      <c r="G386" s="1" t="s">
        <v>2551</v>
      </c>
      <c r="H386" s="1" t="s">
        <v>1445</v>
      </c>
      <c r="I386" s="1" t="s">
        <v>1517</v>
      </c>
      <c r="J386" s="1"/>
      <c r="K386" s="2">
        <v>43070</v>
      </c>
      <c r="L386" s="3" t="str">
        <f>_xlfn.XLOOKUP(A:A,Gemini建議!A:A,Gemini建議!B:B,"")</f>
        <v>高海拔測站 (全)</v>
      </c>
      <c r="M386" s="1"/>
      <c r="N386" s="1"/>
    </row>
    <row r="387" spans="1:14" ht="30" customHeight="1">
      <c r="A387" s="2" t="str">
        <f>表格2[[#This Row],[站名]]&amp;表格2[[#This Row],[城市]]</f>
        <v>翠峰湖宜蘭縣</v>
      </c>
      <c r="B387" s="1" t="s">
        <v>1518</v>
      </c>
      <c r="C387" s="1" t="s">
        <v>1519</v>
      </c>
      <c r="D387" s="1">
        <v>24.510899999999999</v>
      </c>
      <c r="E387" s="1">
        <v>121.608</v>
      </c>
      <c r="F387" s="1" t="s">
        <v>1520</v>
      </c>
      <c r="G387" s="1" t="s">
        <v>2551</v>
      </c>
      <c r="H387" s="1" t="s">
        <v>1445</v>
      </c>
      <c r="I387" s="1" t="s">
        <v>1521</v>
      </c>
      <c r="J387" s="1"/>
      <c r="K387" s="2">
        <v>43182</v>
      </c>
      <c r="L387" s="3" t="str">
        <f>_xlfn.XLOOKUP(A:A,Gemini建議!A:A,Gemini建議!B:B,"")</f>
        <v>高海拔測站 (全)</v>
      </c>
      <c r="M387" s="1"/>
      <c r="N387" s="1"/>
    </row>
    <row r="388" spans="1:14" ht="30" hidden="1" customHeight="1">
      <c r="A388" s="2" t="str">
        <f>表格2[[#This Row],[站名]]&amp;表格2[[#This Row],[城市]]</f>
        <v>大福宜蘭縣</v>
      </c>
      <c r="B388" s="1" t="s">
        <v>1522</v>
      </c>
      <c r="C388" s="1" t="s">
        <v>1523</v>
      </c>
      <c r="D388" s="1">
        <v>24.800599999999999</v>
      </c>
      <c r="E388" s="1">
        <v>121.8139</v>
      </c>
      <c r="F388" s="1" t="s">
        <v>1024</v>
      </c>
      <c r="G388" s="1" t="s">
        <v>2551</v>
      </c>
      <c r="H388" s="1" t="s">
        <v>1445</v>
      </c>
      <c r="I388" s="1" t="s">
        <v>1524</v>
      </c>
      <c r="J388" s="1"/>
      <c r="K388" s="2">
        <v>43070</v>
      </c>
      <c r="L388" s="3" t="str">
        <f>_xlfn.XLOOKUP(A:A,Gemini建議!A:A,Gemini建議!B:B,"")</f>
        <v/>
      </c>
      <c r="M388" s="1"/>
      <c r="N388" s="1"/>
    </row>
    <row r="389" spans="1:14" ht="30" customHeight="1">
      <c r="A389" s="2" t="str">
        <f>表格2[[#This Row],[站名]]&amp;表格2[[#This Row],[城市]]</f>
        <v>坪林石牌宜蘭縣</v>
      </c>
      <c r="B389" s="1" t="s">
        <v>1525</v>
      </c>
      <c r="C389" s="1" t="s">
        <v>1526</v>
      </c>
      <c r="D389" s="1">
        <v>24.864799999999999</v>
      </c>
      <c r="E389" s="1">
        <v>121.774</v>
      </c>
      <c r="F389" s="1" t="s">
        <v>1527</v>
      </c>
      <c r="G389" s="1" t="s">
        <v>2551</v>
      </c>
      <c r="H389" s="1" t="s">
        <v>1445</v>
      </c>
      <c r="I389" s="1" t="s">
        <v>1528</v>
      </c>
      <c r="J389" s="1"/>
      <c r="K389" s="2">
        <v>43070</v>
      </c>
      <c r="L389" s="3" t="str">
        <f>_xlfn.XLOOKUP(A:A,Gemini建議!A:A,Gemini建議!B:B,"")</f>
        <v>高海拔測站 (全)</v>
      </c>
      <c r="M389" s="1"/>
      <c r="N389" s="1"/>
    </row>
    <row r="390" spans="1:14" ht="30" hidden="1" customHeight="1">
      <c r="A390" s="2" t="str">
        <f>表格2[[#This Row],[站名]]&amp;表格2[[#This Row],[城市]]</f>
        <v>員山宜蘭縣</v>
      </c>
      <c r="B390" s="1" t="s">
        <v>1529</v>
      </c>
      <c r="C390" s="1" t="s">
        <v>1530</v>
      </c>
      <c r="D390" s="1">
        <v>24.744399999999999</v>
      </c>
      <c r="E390" s="1">
        <v>121.7225</v>
      </c>
      <c r="F390" s="1" t="s">
        <v>386</v>
      </c>
      <c r="G390" s="1" t="s">
        <v>2551</v>
      </c>
      <c r="H390" s="1" t="s">
        <v>1445</v>
      </c>
      <c r="I390" s="1" t="s">
        <v>1531</v>
      </c>
      <c r="J390" s="1"/>
      <c r="K390" s="2">
        <v>43070</v>
      </c>
      <c r="L390" s="3" t="str">
        <f>_xlfn.XLOOKUP(A:A,Gemini建議!A:A,Gemini建議!B:B,"")</f>
        <v/>
      </c>
      <c r="M390" s="1"/>
      <c r="N390" s="1"/>
    </row>
    <row r="391" spans="1:14" ht="30" hidden="1" customHeight="1">
      <c r="A391" s="2" t="str">
        <f>表格2[[#This Row],[站名]]&amp;表格2[[#This Row],[城市]]</f>
        <v>土場宜蘭縣</v>
      </c>
      <c r="B391" s="1" t="s">
        <v>1532</v>
      </c>
      <c r="C391" s="1" t="s">
        <v>1533</v>
      </c>
      <c r="D391" s="1">
        <v>24.576499999999999</v>
      </c>
      <c r="E391" s="1">
        <v>121.4953</v>
      </c>
      <c r="F391" s="1" t="s">
        <v>1534</v>
      </c>
      <c r="G391" s="1" t="s">
        <v>2551</v>
      </c>
      <c r="H391" s="1" t="s">
        <v>1445</v>
      </c>
      <c r="I391" s="1" t="s">
        <v>1535</v>
      </c>
      <c r="J391" s="1"/>
      <c r="K391" s="2">
        <v>43182</v>
      </c>
      <c r="L391" s="3" t="str">
        <f>_xlfn.XLOOKUP(A:A,Gemini建議!A:A,Gemini建議!B:B,"")</f>
        <v/>
      </c>
      <c r="M391" s="1"/>
      <c r="N391" s="1"/>
    </row>
    <row r="392" spans="1:14" ht="30" customHeight="1">
      <c r="A392" s="2" t="str">
        <f>表格2[[#This Row],[站名]]&amp;表格2[[#This Row],[城市]]</f>
        <v>鴛鴦湖宜蘭縣</v>
      </c>
      <c r="B392" s="1" t="s">
        <v>1536</v>
      </c>
      <c r="C392" s="1" t="s">
        <v>1537</v>
      </c>
      <c r="D392" s="1">
        <v>24.590299999999999</v>
      </c>
      <c r="E392" s="1">
        <v>121.4122</v>
      </c>
      <c r="F392" s="1" t="s">
        <v>1538</v>
      </c>
      <c r="G392" s="1" t="s">
        <v>2551</v>
      </c>
      <c r="H392" s="1" t="s">
        <v>1445</v>
      </c>
      <c r="I392" s="1" t="s">
        <v>1539</v>
      </c>
      <c r="J392" s="1"/>
      <c r="K392" s="2">
        <v>43182</v>
      </c>
      <c r="L392" s="3" t="str">
        <f>_xlfn.XLOOKUP(A:A,Gemini建議!A:A,Gemini建議!B:B,"")</f>
        <v>高海拔測站 (全)</v>
      </c>
      <c r="M392" s="1"/>
      <c r="N392" s="1"/>
    </row>
    <row r="393" spans="1:14" ht="30" customHeight="1">
      <c r="A393" s="2" t="str">
        <f>表格2[[#This Row],[站名]]&amp;表格2[[#This Row],[城市]]</f>
        <v>多加屯宜蘭縣</v>
      </c>
      <c r="B393" s="1" t="s">
        <v>1540</v>
      </c>
      <c r="C393" s="1" t="s">
        <v>1541</v>
      </c>
      <c r="D393" s="1">
        <v>24.368600000000001</v>
      </c>
      <c r="E393" s="1">
        <v>121.3732</v>
      </c>
      <c r="F393" s="1" t="s">
        <v>1542</v>
      </c>
      <c r="G393" s="1" t="s">
        <v>2551</v>
      </c>
      <c r="H393" s="1" t="s">
        <v>1445</v>
      </c>
      <c r="I393" s="1" t="s">
        <v>1543</v>
      </c>
      <c r="J393" s="1"/>
      <c r="K393" s="2">
        <v>43097</v>
      </c>
      <c r="L393" s="3" t="str">
        <f>_xlfn.XLOOKUP(A:A,Gemini建議!A:A,Gemini建議!B:B,"")</f>
        <v>高海拔測站 (全)</v>
      </c>
      <c r="M393" s="1"/>
      <c r="N393" s="1"/>
    </row>
    <row r="394" spans="1:14" ht="30" customHeight="1">
      <c r="A394" s="2" t="str">
        <f>表格2[[#This Row],[站名]]&amp;表格2[[#This Row],[城市]]</f>
        <v>白嶺宜蘭縣</v>
      </c>
      <c r="B394" s="1" t="s">
        <v>1544</v>
      </c>
      <c r="C394" s="1" t="s">
        <v>1545</v>
      </c>
      <c r="D394" s="1">
        <v>24.527799999999999</v>
      </c>
      <c r="E394" s="1">
        <v>121.51900000000001</v>
      </c>
      <c r="F394" s="1" t="s">
        <v>1546</v>
      </c>
      <c r="G394" s="1" t="s">
        <v>2551</v>
      </c>
      <c r="H394" s="1" t="s">
        <v>1445</v>
      </c>
      <c r="I394" s="1" t="s">
        <v>1547</v>
      </c>
      <c r="J394" s="1"/>
      <c r="K394" s="2">
        <v>43182</v>
      </c>
      <c r="L394" s="3" t="str">
        <f>_xlfn.XLOOKUP(A:A,Gemini建議!A:A,Gemini建議!B:B,"")</f>
        <v>高海拔測站 (全)</v>
      </c>
      <c r="M394" s="1"/>
      <c r="N394" s="1"/>
    </row>
    <row r="395" spans="1:14" ht="30" customHeight="1">
      <c r="A395" s="2" t="str">
        <f>表格2[[#This Row],[站名]]&amp;表格2[[#This Row],[城市]]</f>
        <v>西德山宜蘭縣</v>
      </c>
      <c r="B395" s="1" t="s">
        <v>1548</v>
      </c>
      <c r="C395" s="1" t="s">
        <v>1549</v>
      </c>
      <c r="D395" s="1">
        <v>24.560600000000001</v>
      </c>
      <c r="E395" s="1">
        <v>121.7526</v>
      </c>
      <c r="F395" s="1" t="s">
        <v>1550</v>
      </c>
      <c r="G395" s="1" t="s">
        <v>2551</v>
      </c>
      <c r="H395" s="1" t="s">
        <v>1445</v>
      </c>
      <c r="I395" s="1" t="s">
        <v>1551</v>
      </c>
      <c r="J395" s="1"/>
      <c r="K395" s="2">
        <v>43229</v>
      </c>
      <c r="L395" s="3" t="str">
        <f>_xlfn.XLOOKUP(A:A,Gemini建議!A:A,Gemini建議!B:B,"")</f>
        <v>高海拔測站 (全)</v>
      </c>
      <c r="M395" s="1"/>
      <c r="N395" s="1"/>
    </row>
    <row r="396" spans="1:14" ht="30" customHeight="1">
      <c r="A396" s="2" t="str">
        <f>表格2[[#This Row],[站名]]&amp;表格2[[#This Row],[城市]]</f>
        <v>西帽山宜蘭縣</v>
      </c>
      <c r="B396" s="1" t="s">
        <v>1552</v>
      </c>
      <c r="C396" s="1" t="s">
        <v>1553</v>
      </c>
      <c r="D396" s="1">
        <v>24.555399999999999</v>
      </c>
      <c r="E396" s="1">
        <v>121.8026</v>
      </c>
      <c r="F396" s="1" t="s">
        <v>1554</v>
      </c>
      <c r="G396" s="1" t="s">
        <v>2551</v>
      </c>
      <c r="H396" s="1" t="s">
        <v>1445</v>
      </c>
      <c r="I396" s="1" t="s">
        <v>1555</v>
      </c>
      <c r="J396" s="1"/>
      <c r="K396" s="2">
        <v>43229</v>
      </c>
      <c r="L396" s="3" t="str">
        <f>_xlfn.XLOOKUP(A:A,Gemini建議!A:A,Gemini建議!B:B,"")</f>
        <v>高海拔測站 (全)</v>
      </c>
      <c r="M396" s="1"/>
      <c r="N396" s="1"/>
    </row>
    <row r="397" spans="1:14" ht="30" customHeight="1">
      <c r="A397" s="2" t="str">
        <f>表格2[[#This Row],[站名]]&amp;表格2[[#This Row],[城市]]</f>
        <v>樟樹山宜蘭縣</v>
      </c>
      <c r="B397" s="1" t="s">
        <v>1556</v>
      </c>
      <c r="C397" s="1" t="s">
        <v>1557</v>
      </c>
      <c r="D397" s="1">
        <v>24.413900000000002</v>
      </c>
      <c r="E397" s="1">
        <v>121.78319999999999</v>
      </c>
      <c r="F397" s="1" t="s">
        <v>1558</v>
      </c>
      <c r="G397" s="1" t="s">
        <v>2551</v>
      </c>
      <c r="H397" s="1" t="s">
        <v>1445</v>
      </c>
      <c r="I397" s="1" t="s">
        <v>1559</v>
      </c>
      <c r="J397" s="1"/>
      <c r="K397" s="2">
        <v>43182</v>
      </c>
      <c r="L397" s="3" t="str">
        <f>_xlfn.XLOOKUP(A:A,Gemini建議!A:A,Gemini建議!B:B,"")</f>
        <v>高海拔測站 (全)</v>
      </c>
      <c r="M397" s="1"/>
      <c r="N397" s="1"/>
    </row>
    <row r="398" spans="1:14" ht="30" customHeight="1">
      <c r="A398" s="2" t="str">
        <f>表格2[[#This Row],[站名]]&amp;表格2[[#This Row],[城市]]</f>
        <v>桃源谷宜蘭縣</v>
      </c>
      <c r="B398" s="1" t="s">
        <v>1560</v>
      </c>
      <c r="C398" s="1" t="s">
        <v>1561</v>
      </c>
      <c r="D398" s="1">
        <v>24.962599999999998</v>
      </c>
      <c r="E398" s="1">
        <v>121.88890000000001</v>
      </c>
      <c r="F398" s="1" t="s">
        <v>1562</v>
      </c>
      <c r="G398" s="1" t="s">
        <v>2551</v>
      </c>
      <c r="H398" s="1" t="s">
        <v>1445</v>
      </c>
      <c r="I398" s="1" t="s">
        <v>1563</v>
      </c>
      <c r="J398" s="1"/>
      <c r="K398" s="2">
        <v>43182</v>
      </c>
      <c r="L398" s="3" t="str">
        <f>_xlfn.XLOOKUP(A:A,Gemini建議!A:A,Gemini建議!B:B,"")</f>
        <v>高海拔測站 (全)</v>
      </c>
      <c r="M398" s="1"/>
      <c r="N398" s="1"/>
    </row>
    <row r="399" spans="1:14" ht="30" hidden="1" customHeight="1">
      <c r="A399" s="2" t="str">
        <f>表格2[[#This Row],[站名]]&amp;表格2[[#This Row],[城市]]</f>
        <v>大溪漁港宜蘭縣</v>
      </c>
      <c r="B399" s="1" t="s">
        <v>1564</v>
      </c>
      <c r="C399" s="1" t="s">
        <v>1565</v>
      </c>
      <c r="D399" s="1">
        <v>24.941800000000001</v>
      </c>
      <c r="E399" s="1">
        <v>121.90300000000001</v>
      </c>
      <c r="F399" s="1" t="s">
        <v>817</v>
      </c>
      <c r="G399" s="1" t="s">
        <v>2551</v>
      </c>
      <c r="H399" s="1" t="s">
        <v>1445</v>
      </c>
      <c r="I399" s="1" t="s">
        <v>1566</v>
      </c>
      <c r="J399" s="1"/>
      <c r="K399" s="2">
        <v>44629</v>
      </c>
      <c r="L399" s="3" t="str">
        <f>_xlfn.XLOOKUP(A:A,Gemini建議!A:A,Gemini建議!B:B,"")</f>
        <v/>
      </c>
      <c r="M399" s="1"/>
      <c r="N399" s="1"/>
    </row>
    <row r="400" spans="1:14" ht="30" hidden="1" customHeight="1">
      <c r="A400" s="2" t="str">
        <f>表格2[[#This Row],[站名]]&amp;表格2[[#This Row],[城市]]</f>
        <v>石城宜蘭縣</v>
      </c>
      <c r="B400" s="1" t="s">
        <v>1567</v>
      </c>
      <c r="C400" s="1" t="s">
        <v>1568</v>
      </c>
      <c r="D400" s="1">
        <v>24.980399999999999</v>
      </c>
      <c r="E400" s="1">
        <v>121.9512</v>
      </c>
      <c r="F400" s="1" t="s">
        <v>224</v>
      </c>
      <c r="G400" s="1" t="s">
        <v>2551</v>
      </c>
      <c r="H400" s="1" t="s">
        <v>1445</v>
      </c>
      <c r="I400" s="1" t="s">
        <v>1569</v>
      </c>
      <c r="J400" s="1"/>
      <c r="K400" s="2">
        <v>44629</v>
      </c>
      <c r="L400" s="3" t="str">
        <f>_xlfn.XLOOKUP(A:A,Gemini建議!A:A,Gemini建議!B:B,"")</f>
        <v/>
      </c>
      <c r="M400" s="1"/>
      <c r="N400" s="1"/>
    </row>
    <row r="401" spans="1:14" ht="30" hidden="1" customHeight="1">
      <c r="A401" s="2" t="str">
        <f>表格2[[#This Row],[站名]]&amp;表格2[[#This Row],[城市]]</f>
        <v>淡江大學蘭陽校園宜蘭縣</v>
      </c>
      <c r="B401" s="1" t="s">
        <v>1570</v>
      </c>
      <c r="C401" s="1" t="s">
        <v>1571</v>
      </c>
      <c r="D401" s="1">
        <v>24.8232</v>
      </c>
      <c r="E401" s="1">
        <v>121.7304</v>
      </c>
      <c r="F401" s="1" t="s">
        <v>479</v>
      </c>
      <c r="G401" s="1" t="s">
        <v>2551</v>
      </c>
      <c r="H401" s="1" t="s">
        <v>1445</v>
      </c>
      <c r="I401" s="1" t="s">
        <v>1572</v>
      </c>
      <c r="J401" s="1"/>
      <c r="K401" s="2">
        <v>44566</v>
      </c>
      <c r="L401" s="3" t="str">
        <f>_xlfn.XLOOKUP(A:A,Gemini建議!A:A,Gemini建議!B:B,"")</f>
        <v/>
      </c>
      <c r="M401" s="1"/>
      <c r="N401" s="1"/>
    </row>
    <row r="402" spans="1:14" ht="30" hidden="1" customHeight="1">
      <c r="A402" s="2" t="str">
        <f>表格2[[#This Row],[站名]]&amp;表格2[[#This Row],[城市]]</f>
        <v>蘇澳宜蘭縣</v>
      </c>
      <c r="B402" s="1" t="s">
        <v>1573</v>
      </c>
      <c r="C402" s="1" t="s">
        <v>1574</v>
      </c>
      <c r="D402" s="1">
        <v>24.596900000000002</v>
      </c>
      <c r="E402" s="1">
        <v>121.8571</v>
      </c>
      <c r="F402" s="1" t="s">
        <v>1330</v>
      </c>
      <c r="G402" s="1" t="s">
        <v>2551</v>
      </c>
      <c r="H402" s="1" t="s">
        <v>1445</v>
      </c>
      <c r="I402" s="1" t="s">
        <v>1575</v>
      </c>
      <c r="J402" s="1" t="s">
        <v>1576</v>
      </c>
      <c r="K402" s="2">
        <v>45017</v>
      </c>
      <c r="L402" s="3" t="str">
        <f>_xlfn.XLOOKUP(A:A,Gemini建議!A:A,Gemini建議!B:B,"")</f>
        <v/>
      </c>
      <c r="M402" s="1"/>
      <c r="N402" s="1"/>
    </row>
    <row r="403" spans="1:14" ht="30" hidden="1" customHeight="1">
      <c r="A403" s="2" t="str">
        <f>表格2[[#This Row],[站名]]&amp;表格2[[#This Row],[城市]]</f>
        <v>壯圍宜蘭縣</v>
      </c>
      <c r="B403" s="1" t="s">
        <v>1577</v>
      </c>
      <c r="C403" s="1" t="s">
        <v>1578</v>
      </c>
      <c r="D403" s="1">
        <v>24.735900000000001</v>
      </c>
      <c r="E403" s="1">
        <v>121.8163</v>
      </c>
      <c r="F403" s="1" t="s">
        <v>122</v>
      </c>
      <c r="G403" s="1" t="s">
        <v>2551</v>
      </c>
      <c r="H403" s="1" t="s">
        <v>1445</v>
      </c>
      <c r="I403" s="1" t="s">
        <v>1579</v>
      </c>
      <c r="J403" s="1"/>
      <c r="K403" s="2">
        <v>44921</v>
      </c>
      <c r="L403" s="3" t="str">
        <f>_xlfn.XLOOKUP(A:A,Gemini建議!A:A,Gemini建議!B:B,"")</f>
        <v/>
      </c>
      <c r="M403" s="1"/>
      <c r="N403" s="1"/>
    </row>
    <row r="404" spans="1:14" ht="30" customHeight="1">
      <c r="A404" s="2" t="str">
        <f>表格2[[#This Row],[站名]]&amp;表格2[[#This Row],[城市]]</f>
        <v>明池宜蘭縣</v>
      </c>
      <c r="B404" s="1" t="s">
        <v>1580</v>
      </c>
      <c r="C404" s="1" t="s">
        <v>1581</v>
      </c>
      <c r="D404" s="1">
        <v>24.650700000000001</v>
      </c>
      <c r="E404" s="1">
        <v>121.4753</v>
      </c>
      <c r="F404" s="1" t="s">
        <v>1582</v>
      </c>
      <c r="G404" s="1" t="s">
        <v>2551</v>
      </c>
      <c r="H404" s="1" t="s">
        <v>1445</v>
      </c>
      <c r="I404" s="1" t="s">
        <v>1583</v>
      </c>
      <c r="J404" s="1"/>
      <c r="K404" s="2">
        <v>45743</v>
      </c>
      <c r="L404" s="3" t="str">
        <f>_xlfn.XLOOKUP(A:A,Gemini建議!A:A,Gemini建議!B:B,"")</f>
        <v>高海拔測站 (全)</v>
      </c>
      <c r="M404" s="1"/>
      <c r="N404" s="1"/>
    </row>
    <row r="405" spans="1:14" ht="30" customHeight="1">
      <c r="A405" s="2" t="str">
        <f>表格2[[#This Row],[站名]]&amp;表格2[[#This Row],[城市]]</f>
        <v>太平山中間站宜蘭縣</v>
      </c>
      <c r="B405" s="1" t="s">
        <v>1584</v>
      </c>
      <c r="C405" s="1" t="s">
        <v>1585</v>
      </c>
      <c r="D405" s="1">
        <v>24.542000000000002</v>
      </c>
      <c r="E405" s="1">
        <v>121.51349999999999</v>
      </c>
      <c r="F405" s="1" t="s">
        <v>1586</v>
      </c>
      <c r="G405" s="1" t="s">
        <v>2551</v>
      </c>
      <c r="H405" s="1" t="s">
        <v>1445</v>
      </c>
      <c r="I405" s="1" t="s">
        <v>1587</v>
      </c>
      <c r="J405" s="1"/>
      <c r="K405" s="2">
        <v>45743</v>
      </c>
      <c r="L405" s="3" t="str">
        <f>_xlfn.XLOOKUP(A:A,Gemini建議!A:A,Gemini建議!B:B,"")</f>
        <v>高海拔測站 (全)</v>
      </c>
      <c r="M405" s="1"/>
      <c r="N405" s="1"/>
    </row>
    <row r="406" spans="1:14" ht="30" customHeight="1">
      <c r="A406" s="2" t="str">
        <f>表格2[[#This Row],[站名]]&amp;表格2[[#This Row],[城市]]</f>
        <v>翠峰林道6K宜蘭縣</v>
      </c>
      <c r="B406" s="1" t="s">
        <v>1588</v>
      </c>
      <c r="C406" s="1" t="s">
        <v>1589</v>
      </c>
      <c r="D406" s="1">
        <v>24.497699999999998</v>
      </c>
      <c r="E406" s="1">
        <v>121.5686</v>
      </c>
      <c r="F406" s="1" t="s">
        <v>1590</v>
      </c>
      <c r="G406" s="1" t="s">
        <v>2551</v>
      </c>
      <c r="H406" s="1" t="s">
        <v>1445</v>
      </c>
      <c r="I406" s="1" t="s">
        <v>1591</v>
      </c>
      <c r="J406" s="1"/>
      <c r="K406" s="2">
        <v>45743</v>
      </c>
      <c r="L406" s="3" t="str">
        <f>_xlfn.XLOOKUP(A:A,Gemini建議!A:A,Gemini建議!B:B,"")</f>
        <v>高海拔測站 (全)</v>
      </c>
      <c r="M406" s="1"/>
      <c r="N406" s="1"/>
    </row>
    <row r="407" spans="1:14" ht="30" customHeight="1">
      <c r="A407" s="2" t="str">
        <f>表格2[[#This Row],[站名]]&amp;表格2[[#This Row],[城市]]</f>
        <v>太平山莊宜蘭縣</v>
      </c>
      <c r="B407" s="1" t="s">
        <v>1592</v>
      </c>
      <c r="C407" s="1" t="s">
        <v>1593</v>
      </c>
      <c r="D407" s="1">
        <v>24.494199999999999</v>
      </c>
      <c r="E407" s="1">
        <v>121.53619999999999</v>
      </c>
      <c r="F407" s="1" t="s">
        <v>1594</v>
      </c>
      <c r="G407" s="1" t="s">
        <v>2551</v>
      </c>
      <c r="H407" s="1" t="s">
        <v>1445</v>
      </c>
      <c r="I407" s="1" t="s">
        <v>1595</v>
      </c>
      <c r="J407" s="1"/>
      <c r="K407" s="2">
        <v>45743</v>
      </c>
      <c r="L407" s="3" t="str">
        <f>_xlfn.XLOOKUP(A:A,Gemini建議!A:A,Gemini建議!B:B,"")</f>
        <v>高海拔測站 (全)</v>
      </c>
      <c r="M407" s="1"/>
      <c r="N407" s="1"/>
    </row>
    <row r="408" spans="1:14" ht="30" customHeight="1">
      <c r="A408" s="2" t="str">
        <f>表格2[[#This Row],[站名]]&amp;表格2[[#This Row],[城市]]</f>
        <v>復興高雄市</v>
      </c>
      <c r="B408" s="1" t="s">
        <v>230</v>
      </c>
      <c r="C408" s="1" t="s">
        <v>1596</v>
      </c>
      <c r="D408" s="1">
        <v>23.2224</v>
      </c>
      <c r="E408" s="1">
        <v>120.8061</v>
      </c>
      <c r="F408" s="1" t="s">
        <v>1597</v>
      </c>
      <c r="G408" s="1" t="s">
        <v>2549</v>
      </c>
      <c r="H408" s="1" t="s">
        <v>1598</v>
      </c>
      <c r="I408" s="1" t="s">
        <v>1599</v>
      </c>
      <c r="J408" s="1" t="s">
        <v>1600</v>
      </c>
      <c r="K408" s="2">
        <v>41382</v>
      </c>
      <c r="L408" s="3" t="str">
        <f>_xlfn.XLOOKUP(A:A,Gemini建議!A:A,Gemini建議!B:B,"")</f>
        <v>高海拔測站 (全)</v>
      </c>
      <c r="M408" s="1"/>
      <c r="N408" s="1"/>
    </row>
    <row r="409" spans="1:14" ht="30" hidden="1" customHeight="1">
      <c r="A409" s="2" t="str">
        <f>表格2[[#This Row],[站名]]&amp;表格2[[#This Row],[城市]]</f>
        <v>溪埔高雄市</v>
      </c>
      <c r="B409" s="1" t="s">
        <v>1601</v>
      </c>
      <c r="C409" s="1" t="s">
        <v>1602</v>
      </c>
      <c r="D409" s="1">
        <v>22.738600000000002</v>
      </c>
      <c r="E409" s="1">
        <v>120.4468</v>
      </c>
      <c r="F409" s="1" t="s">
        <v>1603</v>
      </c>
      <c r="G409" s="1" t="s">
        <v>2549</v>
      </c>
      <c r="H409" s="1" t="s">
        <v>1598</v>
      </c>
      <c r="I409" s="1" t="s">
        <v>1604</v>
      </c>
      <c r="J409" s="1" t="s">
        <v>1605</v>
      </c>
      <c r="K409" s="2">
        <v>41609</v>
      </c>
      <c r="L409" s="3" t="str">
        <f>_xlfn.XLOOKUP(A:A,Gemini建議!A:A,Gemini建議!B:B,"")</f>
        <v/>
      </c>
      <c r="M409" s="1"/>
      <c r="N409" s="1"/>
    </row>
    <row r="410" spans="1:14" ht="30" hidden="1" customHeight="1">
      <c r="A410" s="2" t="str">
        <f>表格2[[#This Row],[站名]]&amp;表格2[[#This Row],[城市]]</f>
        <v>內門高雄市</v>
      </c>
      <c r="B410" s="1" t="s">
        <v>1606</v>
      </c>
      <c r="C410" s="1" t="s">
        <v>1607</v>
      </c>
      <c r="D410" s="1">
        <v>22.9755</v>
      </c>
      <c r="E410" s="1">
        <v>120.46680000000001</v>
      </c>
      <c r="F410" s="1" t="s">
        <v>1608</v>
      </c>
      <c r="G410" s="1" t="s">
        <v>2549</v>
      </c>
      <c r="H410" s="1" t="s">
        <v>1598</v>
      </c>
      <c r="I410" s="1" t="s">
        <v>1609</v>
      </c>
      <c r="J410" s="1" t="s">
        <v>1610</v>
      </c>
      <c r="K410" s="2">
        <v>41609</v>
      </c>
      <c r="L410" s="3" t="str">
        <f>_xlfn.XLOOKUP(A:A,Gemini建議!A:A,Gemini建議!B:B,"")</f>
        <v/>
      </c>
      <c r="M410" s="1"/>
      <c r="N410" s="1"/>
    </row>
    <row r="411" spans="1:14" ht="30" hidden="1" customHeight="1">
      <c r="A411" s="2" t="str">
        <f>表格2[[#This Row],[站名]]&amp;表格2[[#This Row],[城市]]</f>
        <v>古亭坑高雄市</v>
      </c>
      <c r="B411" s="1" t="s">
        <v>1611</v>
      </c>
      <c r="C411" s="1" t="s">
        <v>1612</v>
      </c>
      <c r="D411" s="1">
        <v>22.8932</v>
      </c>
      <c r="E411" s="1">
        <v>120.4019</v>
      </c>
      <c r="F411" s="1" t="s">
        <v>531</v>
      </c>
      <c r="G411" s="1" t="s">
        <v>2549</v>
      </c>
      <c r="H411" s="1" t="s">
        <v>1598</v>
      </c>
      <c r="I411" s="1" t="s">
        <v>1613</v>
      </c>
      <c r="J411" s="1" t="s">
        <v>1614</v>
      </c>
      <c r="K411" s="2">
        <v>33725</v>
      </c>
      <c r="L411" s="3" t="str">
        <f>_xlfn.XLOOKUP(A:A,Gemini建議!A:A,Gemini建議!B:B,"")</f>
        <v/>
      </c>
      <c r="M411" s="1"/>
      <c r="N411" s="1"/>
    </row>
    <row r="412" spans="1:14" ht="30" hidden="1" customHeight="1">
      <c r="A412" s="2" t="str">
        <f>表格2[[#This Row],[站名]]&amp;表格2[[#This Row],[城市]]</f>
        <v>阿公店高雄市</v>
      </c>
      <c r="B412" s="1" t="s">
        <v>1615</v>
      </c>
      <c r="C412" s="1" t="s">
        <v>1616</v>
      </c>
      <c r="D412" s="1">
        <v>22.804200000000002</v>
      </c>
      <c r="E412" s="1">
        <v>120.35550000000001</v>
      </c>
      <c r="F412" s="1" t="s">
        <v>809</v>
      </c>
      <c r="G412" s="1" t="s">
        <v>2549</v>
      </c>
      <c r="H412" s="1" t="s">
        <v>1598</v>
      </c>
      <c r="I412" s="1" t="s">
        <v>1617</v>
      </c>
      <c r="J412" s="1" t="s">
        <v>1618</v>
      </c>
      <c r="K412" s="2">
        <v>41609</v>
      </c>
      <c r="L412" s="3" t="str">
        <f>_xlfn.XLOOKUP(A:A,Gemini建議!A:A,Gemini建議!B:B,"")</f>
        <v/>
      </c>
      <c r="M412" s="1"/>
      <c r="N412" s="1"/>
    </row>
    <row r="413" spans="1:14" ht="30" hidden="1" customHeight="1">
      <c r="A413" s="2" t="str">
        <f>表格2[[#This Row],[站名]]&amp;表格2[[#This Row],[城市]]</f>
        <v>鳳山高雄市</v>
      </c>
      <c r="B413" s="1" t="s">
        <v>1619</v>
      </c>
      <c r="C413" s="1" t="s">
        <v>1620</v>
      </c>
      <c r="D413" s="1">
        <v>22.646699999999999</v>
      </c>
      <c r="E413" s="1">
        <v>120.3561</v>
      </c>
      <c r="F413" s="1" t="s">
        <v>99</v>
      </c>
      <c r="G413" s="1" t="s">
        <v>2549</v>
      </c>
      <c r="H413" s="1" t="s">
        <v>1598</v>
      </c>
      <c r="I413" s="1" t="s">
        <v>1621</v>
      </c>
      <c r="J413" s="1" t="s">
        <v>1622</v>
      </c>
      <c r="K413" s="2">
        <v>41609</v>
      </c>
      <c r="L413" s="3" t="str">
        <f>_xlfn.XLOOKUP(A:A,Gemini建議!A:A,Gemini建議!B:B,"")</f>
        <v/>
      </c>
      <c r="M413" s="1"/>
      <c r="N413" s="1"/>
    </row>
    <row r="414" spans="1:14" ht="30" hidden="1" customHeight="1">
      <c r="A414" s="2" t="str">
        <f>表格2[[#This Row],[站名]]&amp;表格2[[#This Row],[城市]]</f>
        <v>鳳森高雄市</v>
      </c>
      <c r="B414" s="1" t="s">
        <v>1623</v>
      </c>
      <c r="C414" s="1" t="s">
        <v>1624</v>
      </c>
      <c r="D414" s="1">
        <v>22.545100000000001</v>
      </c>
      <c r="E414" s="1">
        <v>120.3926</v>
      </c>
      <c r="F414" s="1" t="s">
        <v>1014</v>
      </c>
      <c r="G414" s="1" t="s">
        <v>2549</v>
      </c>
      <c r="H414" s="1" t="s">
        <v>1598</v>
      </c>
      <c r="I414" s="1" t="s">
        <v>1625</v>
      </c>
      <c r="J414" s="1" t="s">
        <v>1626</v>
      </c>
      <c r="K414" s="2">
        <v>41609</v>
      </c>
      <c r="L414" s="3" t="str">
        <f>_xlfn.XLOOKUP(A:A,Gemini建議!A:A,Gemini建議!B:B,"")</f>
        <v/>
      </c>
      <c r="M414" s="1"/>
      <c r="N414" s="1"/>
    </row>
    <row r="415" spans="1:14" ht="30" hidden="1" customHeight="1">
      <c r="A415" s="2" t="str">
        <f>表格2[[#This Row],[站名]]&amp;表格2[[#This Row],[城市]]</f>
        <v>新興高雄市</v>
      </c>
      <c r="B415" s="1" t="s">
        <v>1627</v>
      </c>
      <c r="C415" s="1" t="s">
        <v>1628</v>
      </c>
      <c r="D415" s="1">
        <v>22.627400000000002</v>
      </c>
      <c r="E415" s="1">
        <v>120.2988</v>
      </c>
      <c r="F415" s="1" t="s">
        <v>103</v>
      </c>
      <c r="G415" s="1" t="s">
        <v>2549</v>
      </c>
      <c r="H415" s="1" t="s">
        <v>1598</v>
      </c>
      <c r="I415" s="1" t="s">
        <v>1629</v>
      </c>
      <c r="J415" s="1" t="s">
        <v>1630</v>
      </c>
      <c r="K415" s="2">
        <v>40099</v>
      </c>
      <c r="L415" s="3" t="str">
        <f>_xlfn.XLOOKUP(A:A,Gemini建議!A:A,Gemini建議!B:B,"")</f>
        <v/>
      </c>
      <c r="M415" s="1"/>
      <c r="N415" s="1"/>
    </row>
    <row r="416" spans="1:14" ht="30" hidden="1" customHeight="1">
      <c r="A416" s="2" t="str">
        <f>表格2[[#This Row],[站名]]&amp;表格2[[#This Row],[城市]]</f>
        <v>阿蓮高雄市</v>
      </c>
      <c r="B416" s="1" t="s">
        <v>1631</v>
      </c>
      <c r="C416" s="1" t="s">
        <v>1632</v>
      </c>
      <c r="D416" s="1">
        <v>22.883199999999999</v>
      </c>
      <c r="E416" s="1">
        <v>120.3275</v>
      </c>
      <c r="F416" s="1" t="s">
        <v>138</v>
      </c>
      <c r="G416" s="1" t="s">
        <v>2549</v>
      </c>
      <c r="H416" s="1" t="s">
        <v>1598</v>
      </c>
      <c r="I416" s="1" t="s">
        <v>1633</v>
      </c>
      <c r="J416" s="1" t="s">
        <v>1634</v>
      </c>
      <c r="K416" s="2">
        <v>41487</v>
      </c>
      <c r="L416" s="3" t="str">
        <f>_xlfn.XLOOKUP(A:A,Gemini建議!A:A,Gemini建議!B:B,"")</f>
        <v/>
      </c>
      <c r="M416" s="1"/>
      <c r="N416" s="1"/>
    </row>
    <row r="417" spans="1:14" ht="30" hidden="1" customHeight="1">
      <c r="A417" s="2" t="str">
        <f>表格2[[#This Row],[站名]]&amp;表格2[[#This Row],[城市]]</f>
        <v>梓官高雄市</v>
      </c>
      <c r="B417" s="1" t="s">
        <v>1635</v>
      </c>
      <c r="C417" s="1" t="s">
        <v>1636</v>
      </c>
      <c r="D417" s="1">
        <v>22.7606</v>
      </c>
      <c r="E417" s="1">
        <v>120.2672</v>
      </c>
      <c r="F417" s="1" t="s">
        <v>175</v>
      </c>
      <c r="G417" s="1" t="s">
        <v>2549</v>
      </c>
      <c r="H417" s="1" t="s">
        <v>1598</v>
      </c>
      <c r="I417" s="1" t="s">
        <v>1637</v>
      </c>
      <c r="J417" s="1" t="s">
        <v>402</v>
      </c>
      <c r="K417" s="2">
        <v>41548</v>
      </c>
      <c r="L417" s="3" t="str">
        <f>_xlfn.XLOOKUP(A:A,Gemini建議!A:A,Gemini建議!B:B,"")</f>
        <v/>
      </c>
      <c r="M417" s="1"/>
      <c r="N417" s="1"/>
    </row>
    <row r="418" spans="1:14" ht="30" hidden="1" customHeight="1">
      <c r="A418" s="2" t="str">
        <f>表格2[[#This Row],[站名]]&amp;表格2[[#This Row],[城市]]</f>
        <v>永安高雄市</v>
      </c>
      <c r="B418" s="1" t="s">
        <v>1638</v>
      </c>
      <c r="C418" s="1" t="s">
        <v>1639</v>
      </c>
      <c r="D418" s="1">
        <v>22.8231</v>
      </c>
      <c r="E418" s="1">
        <v>120.23690000000001</v>
      </c>
      <c r="F418" s="1" t="s">
        <v>203</v>
      </c>
      <c r="G418" s="1" t="s">
        <v>2549</v>
      </c>
      <c r="H418" s="1" t="s">
        <v>1598</v>
      </c>
      <c r="I418" s="1" t="s">
        <v>1640</v>
      </c>
      <c r="J418" s="1" t="s">
        <v>402</v>
      </c>
      <c r="K418" s="2">
        <v>41532</v>
      </c>
      <c r="L418" s="3" t="str">
        <f>_xlfn.XLOOKUP(A:A,Gemini建議!A:A,Gemini建議!B:B,"")</f>
        <v/>
      </c>
      <c r="M418" s="1"/>
      <c r="N418" s="1"/>
    </row>
    <row r="419" spans="1:14" ht="30" hidden="1" customHeight="1">
      <c r="A419" s="2" t="str">
        <f>表格2[[#This Row],[站名]]&amp;表格2[[#This Row],[城市]]</f>
        <v>茄萣高雄市</v>
      </c>
      <c r="B419" s="1" t="s">
        <v>1641</v>
      </c>
      <c r="C419" s="1" t="s">
        <v>1642</v>
      </c>
      <c r="D419" s="1">
        <v>22.906600000000001</v>
      </c>
      <c r="E419" s="1">
        <v>120.18259999999999</v>
      </c>
      <c r="F419" s="1" t="s">
        <v>252</v>
      </c>
      <c r="G419" s="1" t="s">
        <v>2549</v>
      </c>
      <c r="H419" s="1" t="s">
        <v>1598</v>
      </c>
      <c r="I419" s="1" t="s">
        <v>1643</v>
      </c>
      <c r="J419" s="1"/>
      <c r="K419" s="2">
        <v>41542</v>
      </c>
      <c r="L419" s="3" t="str">
        <f>_xlfn.XLOOKUP(A:A,Gemini建議!A:A,Gemini建議!B:B,"")</f>
        <v/>
      </c>
      <c r="M419" s="1"/>
      <c r="N419" s="1"/>
    </row>
    <row r="420" spans="1:14" ht="30" hidden="1" customHeight="1">
      <c r="A420" s="2" t="str">
        <f>表格2[[#This Row],[站名]]&amp;表格2[[#This Row],[城市]]</f>
        <v>湖內高雄市</v>
      </c>
      <c r="B420" s="1" t="s">
        <v>1644</v>
      </c>
      <c r="C420" s="1" t="s">
        <v>1645</v>
      </c>
      <c r="D420" s="1">
        <v>22.8871</v>
      </c>
      <c r="E420" s="1">
        <v>120.2445</v>
      </c>
      <c r="F420" s="1" t="s">
        <v>71</v>
      </c>
      <c r="G420" s="1" t="s">
        <v>2549</v>
      </c>
      <c r="H420" s="1" t="s">
        <v>1598</v>
      </c>
      <c r="I420" s="1" t="s">
        <v>1646</v>
      </c>
      <c r="J420" s="1" t="s">
        <v>402</v>
      </c>
      <c r="K420" s="2">
        <v>41550</v>
      </c>
      <c r="L420" s="3" t="str">
        <f>_xlfn.XLOOKUP(A:A,Gemini建議!A:A,Gemini建議!B:B,"")</f>
        <v/>
      </c>
      <c r="M420" s="1"/>
      <c r="N420" s="1"/>
    </row>
    <row r="421" spans="1:14" ht="30" hidden="1" customHeight="1">
      <c r="A421" s="2" t="str">
        <f>表格2[[#This Row],[站名]]&amp;表格2[[#This Row],[城市]]</f>
        <v>彌陀高雄市</v>
      </c>
      <c r="B421" s="1" t="s">
        <v>1647</v>
      </c>
      <c r="C421" s="1" t="s">
        <v>1648</v>
      </c>
      <c r="D421" s="1">
        <v>22.783799999999999</v>
      </c>
      <c r="E421" s="1">
        <v>120.24639999999999</v>
      </c>
      <c r="F421" s="1" t="s">
        <v>1330</v>
      </c>
      <c r="G421" s="1" t="s">
        <v>2549</v>
      </c>
      <c r="H421" s="1" t="s">
        <v>1598</v>
      </c>
      <c r="I421" s="1" t="s">
        <v>1649</v>
      </c>
      <c r="J421" s="1"/>
      <c r="K421" s="2">
        <v>41543</v>
      </c>
      <c r="L421" s="3" t="str">
        <f>_xlfn.XLOOKUP(A:A,Gemini建議!A:A,Gemini建議!B:B,"")</f>
        <v/>
      </c>
      <c r="M421" s="1"/>
      <c r="N421" s="1"/>
    </row>
    <row r="422" spans="1:14" ht="30" hidden="1" customHeight="1">
      <c r="A422" s="2" t="str">
        <f>表格2[[#This Row],[站名]]&amp;表格2[[#This Row],[城市]]</f>
        <v>岡山高雄市</v>
      </c>
      <c r="B422" s="1" t="s">
        <v>1650</v>
      </c>
      <c r="C422" s="1" t="s">
        <v>1651</v>
      </c>
      <c r="D422" s="1">
        <v>22.7971</v>
      </c>
      <c r="E422" s="1">
        <v>120.295</v>
      </c>
      <c r="F422" s="1" t="s">
        <v>94</v>
      </c>
      <c r="G422" s="1" t="s">
        <v>2549</v>
      </c>
      <c r="H422" s="1" t="s">
        <v>1598</v>
      </c>
      <c r="I422" s="1" t="s">
        <v>1652</v>
      </c>
      <c r="J422" s="1"/>
      <c r="K422" s="2">
        <v>41549</v>
      </c>
      <c r="L422" s="3" t="str">
        <f>_xlfn.XLOOKUP(A:A,Gemini建議!A:A,Gemini建議!B:B,"")</f>
        <v/>
      </c>
      <c r="M422" s="1"/>
      <c r="N422" s="1"/>
    </row>
    <row r="423" spans="1:14" ht="30" hidden="1" customHeight="1">
      <c r="A423" s="2" t="str">
        <f>表格2[[#This Row],[站名]]&amp;表格2[[#This Row],[城市]]</f>
        <v>仁武高雄市</v>
      </c>
      <c r="B423" s="1" t="s">
        <v>1653</v>
      </c>
      <c r="C423" s="1" t="s">
        <v>1654</v>
      </c>
      <c r="D423" s="1">
        <v>22.7011</v>
      </c>
      <c r="E423" s="1">
        <v>120.3477</v>
      </c>
      <c r="F423" s="1" t="s">
        <v>46</v>
      </c>
      <c r="G423" s="1" t="s">
        <v>2549</v>
      </c>
      <c r="H423" s="1" t="s">
        <v>1598</v>
      </c>
      <c r="I423" s="1" t="s">
        <v>1655</v>
      </c>
      <c r="J423" s="1"/>
      <c r="K423" s="2">
        <v>41502</v>
      </c>
      <c r="L423" s="3" t="str">
        <f>_xlfn.XLOOKUP(A:A,Gemini建議!A:A,Gemini建議!B:B,"")</f>
        <v/>
      </c>
      <c r="M423" s="1"/>
      <c r="N423" s="1"/>
    </row>
    <row r="424" spans="1:14" ht="30" hidden="1" customHeight="1">
      <c r="A424" s="2" t="str">
        <f>表格2[[#This Row],[站名]]&amp;表格2[[#This Row],[城市]]</f>
        <v>鼓山高雄市</v>
      </c>
      <c r="B424" s="1" t="s">
        <v>1656</v>
      </c>
      <c r="C424" s="1" t="s">
        <v>1657</v>
      </c>
      <c r="D424" s="1">
        <v>22.6233</v>
      </c>
      <c r="E424" s="1">
        <v>120.2756</v>
      </c>
      <c r="F424" s="1" t="s">
        <v>122</v>
      </c>
      <c r="G424" s="1" t="s">
        <v>2549</v>
      </c>
      <c r="H424" s="1" t="s">
        <v>1598</v>
      </c>
      <c r="I424" s="1" t="s">
        <v>1658</v>
      </c>
      <c r="J424" s="1"/>
      <c r="K424" s="2">
        <v>41546</v>
      </c>
      <c r="L424" s="3" t="str">
        <f>_xlfn.XLOOKUP(A:A,Gemini建議!A:A,Gemini建議!B:B,"")</f>
        <v/>
      </c>
      <c r="M424" s="1"/>
      <c r="N424" s="1"/>
    </row>
    <row r="425" spans="1:14" ht="30" hidden="1" customHeight="1">
      <c r="A425" s="2" t="str">
        <f>表格2[[#This Row],[站名]]&amp;表格2[[#This Row],[城市]]</f>
        <v>三民高雄市</v>
      </c>
      <c r="B425" s="1" t="s">
        <v>1659</v>
      </c>
      <c r="C425" s="1" t="s">
        <v>1660</v>
      </c>
      <c r="D425" s="1">
        <v>22.645</v>
      </c>
      <c r="E425" s="1">
        <v>120.3112</v>
      </c>
      <c r="F425" s="1" t="s">
        <v>354</v>
      </c>
      <c r="G425" s="1" t="s">
        <v>2549</v>
      </c>
      <c r="H425" s="1" t="s">
        <v>1598</v>
      </c>
      <c r="I425" s="1" t="s">
        <v>1661</v>
      </c>
      <c r="J425" s="1"/>
      <c r="K425" s="2">
        <v>41546</v>
      </c>
      <c r="L425" s="3" t="str">
        <f>_xlfn.XLOOKUP(A:A,Gemini建議!A:A,Gemini建議!B:B,"")</f>
        <v/>
      </c>
      <c r="M425" s="1"/>
      <c r="N425" s="1"/>
    </row>
    <row r="426" spans="1:14" ht="30" hidden="1" customHeight="1">
      <c r="A426" s="2" t="str">
        <f>表格2[[#This Row],[站名]]&amp;表格2[[#This Row],[城市]]</f>
        <v>苓雅高雄市</v>
      </c>
      <c r="B426" s="1" t="s">
        <v>1662</v>
      </c>
      <c r="C426" s="1" t="s">
        <v>1663</v>
      </c>
      <c r="D426" s="1">
        <v>22.622699999999998</v>
      </c>
      <c r="E426" s="1">
        <v>120.33069999999999</v>
      </c>
      <c r="F426" s="1" t="s">
        <v>138</v>
      </c>
      <c r="G426" s="1" t="s">
        <v>2549</v>
      </c>
      <c r="H426" s="1" t="s">
        <v>1598</v>
      </c>
      <c r="I426" s="1" t="s">
        <v>1664</v>
      </c>
      <c r="J426" s="1"/>
      <c r="K426" s="2">
        <v>41550</v>
      </c>
      <c r="L426" s="3" t="str">
        <f>_xlfn.XLOOKUP(A:A,Gemini建議!A:A,Gemini建議!B:B,"")</f>
        <v/>
      </c>
      <c r="M426" s="1"/>
      <c r="N426" s="1"/>
    </row>
    <row r="427" spans="1:14" ht="30" hidden="1" customHeight="1">
      <c r="A427" s="2" t="str">
        <f>表格2[[#This Row],[站名]]&amp;表格2[[#This Row],[城市]]</f>
        <v>林園高雄市</v>
      </c>
      <c r="B427" s="1" t="s">
        <v>1665</v>
      </c>
      <c r="C427" s="1" t="s">
        <v>1666</v>
      </c>
      <c r="D427" s="1">
        <v>22.5077</v>
      </c>
      <c r="E427" s="1">
        <v>120.39449999999999</v>
      </c>
      <c r="F427" s="1" t="s">
        <v>220</v>
      </c>
      <c r="G427" s="1" t="s">
        <v>2549</v>
      </c>
      <c r="H427" s="1" t="s">
        <v>1598</v>
      </c>
      <c r="I427" s="1" t="s">
        <v>1667</v>
      </c>
      <c r="J427" s="1"/>
      <c r="K427" s="2">
        <v>41438</v>
      </c>
      <c r="L427" s="3" t="str">
        <f>_xlfn.XLOOKUP(A:A,Gemini建議!A:A,Gemini建議!B:B,"")</f>
        <v/>
      </c>
      <c r="M427" s="1"/>
      <c r="N427" s="1"/>
    </row>
    <row r="428" spans="1:14" ht="30" hidden="1" customHeight="1">
      <c r="A428" s="2" t="str">
        <f>表格2[[#This Row],[站名]]&amp;表格2[[#This Row],[城市]]</f>
        <v>大寮高雄市</v>
      </c>
      <c r="B428" s="1" t="s">
        <v>1668</v>
      </c>
      <c r="C428" s="1" t="s">
        <v>1669</v>
      </c>
      <c r="D428" s="1">
        <v>22.605599999999999</v>
      </c>
      <c r="E428" s="1">
        <v>120.39570000000001</v>
      </c>
      <c r="F428" s="1" t="s">
        <v>866</v>
      </c>
      <c r="G428" s="1" t="s">
        <v>2549</v>
      </c>
      <c r="H428" s="1" t="s">
        <v>1598</v>
      </c>
      <c r="I428" s="1" t="s">
        <v>1670</v>
      </c>
      <c r="J428" s="1"/>
      <c r="K428" s="2">
        <v>41438</v>
      </c>
      <c r="L428" s="3" t="str">
        <f>_xlfn.XLOOKUP(A:A,Gemini建議!A:A,Gemini建議!B:B,"")</f>
        <v/>
      </c>
      <c r="M428" s="1"/>
      <c r="N428" s="1"/>
    </row>
    <row r="429" spans="1:14" ht="30" customHeight="1">
      <c r="A429" s="2" t="str">
        <f>表格2[[#This Row],[站名]]&amp;表格2[[#This Row],[城市]]</f>
        <v>旗山高雄市</v>
      </c>
      <c r="B429" s="1" t="s">
        <v>1671</v>
      </c>
      <c r="C429" s="1" t="s">
        <v>1672</v>
      </c>
      <c r="D429" s="1">
        <v>22.8886</v>
      </c>
      <c r="E429" s="1">
        <v>120.4836</v>
      </c>
      <c r="F429" s="1" t="s">
        <v>33</v>
      </c>
      <c r="G429" s="1" t="s">
        <v>2549</v>
      </c>
      <c r="H429" s="1" t="s">
        <v>1598</v>
      </c>
      <c r="I429" s="1" t="s">
        <v>1673</v>
      </c>
      <c r="J429" s="1"/>
      <c r="K429" s="2">
        <v>41411</v>
      </c>
      <c r="L429" s="3" t="str">
        <f>_xlfn.XLOOKUP(A:A,Gemini建議!A:A,Gemini建議!B:B,"")</f>
        <v>低海拔代表站</v>
      </c>
      <c r="M429" s="1"/>
      <c r="N429" s="1"/>
    </row>
    <row r="430" spans="1:14" ht="30" hidden="1" customHeight="1">
      <c r="A430" s="2" t="str">
        <f>表格2[[#This Row],[站名]]&amp;表格2[[#This Row],[城市]]</f>
        <v>路竹高雄市</v>
      </c>
      <c r="B430" s="1" t="s">
        <v>1674</v>
      </c>
      <c r="C430" s="1" t="s">
        <v>1675</v>
      </c>
      <c r="D430" s="1">
        <v>22.855</v>
      </c>
      <c r="E430" s="1">
        <v>120.2594</v>
      </c>
      <c r="F430" s="1" t="s">
        <v>171</v>
      </c>
      <c r="G430" s="1" t="s">
        <v>2549</v>
      </c>
      <c r="H430" s="1" t="s">
        <v>1598</v>
      </c>
      <c r="I430" s="1" t="s">
        <v>1676</v>
      </c>
      <c r="J430" s="1"/>
      <c r="K430" s="2">
        <v>41541</v>
      </c>
      <c r="L430" s="3" t="str">
        <f>_xlfn.XLOOKUP(A:A,Gemini建議!A:A,Gemini建議!B:B,"")</f>
        <v/>
      </c>
      <c r="M430" s="1"/>
      <c r="N430" s="1"/>
    </row>
    <row r="431" spans="1:14" ht="30" hidden="1" customHeight="1">
      <c r="A431" s="2" t="str">
        <f>表格2[[#This Row],[站名]]&amp;表格2[[#This Row],[城市]]</f>
        <v>橋頭高雄市</v>
      </c>
      <c r="B431" s="1" t="s">
        <v>1677</v>
      </c>
      <c r="C431" s="1" t="s">
        <v>1678</v>
      </c>
      <c r="D431" s="1">
        <v>22.7578</v>
      </c>
      <c r="E431" s="1">
        <v>120.3058</v>
      </c>
      <c r="F431" s="1" t="s">
        <v>122</v>
      </c>
      <c r="G431" s="1" t="s">
        <v>2549</v>
      </c>
      <c r="H431" s="1" t="s">
        <v>1598</v>
      </c>
      <c r="I431" s="1" t="s">
        <v>1679</v>
      </c>
      <c r="J431" s="1"/>
      <c r="K431" s="2">
        <v>41516</v>
      </c>
      <c r="L431" s="3" t="str">
        <f>_xlfn.XLOOKUP(A:A,Gemini建議!A:A,Gemini建議!B:B,"")</f>
        <v/>
      </c>
      <c r="M431" s="1"/>
      <c r="N431" s="1"/>
    </row>
    <row r="432" spans="1:14" ht="30" hidden="1" customHeight="1">
      <c r="A432" s="2" t="str">
        <f>表格2[[#This Row],[站名]]&amp;表格2[[#This Row],[城市]]</f>
        <v>大社高雄市</v>
      </c>
      <c r="B432" s="1" t="s">
        <v>1680</v>
      </c>
      <c r="C432" s="1" t="s">
        <v>1681</v>
      </c>
      <c r="D432" s="1">
        <v>22.7303</v>
      </c>
      <c r="E432" s="1">
        <v>120.3466</v>
      </c>
      <c r="F432" s="1" t="s">
        <v>162</v>
      </c>
      <c r="G432" s="1" t="s">
        <v>2549</v>
      </c>
      <c r="H432" s="1" t="s">
        <v>1598</v>
      </c>
      <c r="I432" s="1" t="s">
        <v>1682</v>
      </c>
      <c r="J432" s="1"/>
      <c r="K432" s="2">
        <v>41535</v>
      </c>
      <c r="L432" s="3" t="str">
        <f>_xlfn.XLOOKUP(A:A,Gemini建議!A:A,Gemini建議!B:B,"")</f>
        <v/>
      </c>
      <c r="M432" s="1"/>
      <c r="N432" s="1"/>
    </row>
    <row r="433" spans="1:14" ht="30" hidden="1" customHeight="1">
      <c r="A433" s="2" t="str">
        <f>表格2[[#This Row],[站名]]&amp;表格2[[#This Row],[城市]]</f>
        <v>萬山高雄市</v>
      </c>
      <c r="B433" s="1" t="s">
        <v>1683</v>
      </c>
      <c r="C433" s="1" t="s">
        <v>1684</v>
      </c>
      <c r="D433" s="1">
        <v>22.905899999999999</v>
      </c>
      <c r="E433" s="1">
        <v>120.68810000000001</v>
      </c>
      <c r="F433" s="1" t="s">
        <v>1685</v>
      </c>
      <c r="G433" s="1" t="s">
        <v>2549</v>
      </c>
      <c r="H433" s="1" t="s">
        <v>1598</v>
      </c>
      <c r="I433" s="1" t="s">
        <v>1686</v>
      </c>
      <c r="J433" s="1"/>
      <c r="K433" s="2">
        <v>41569</v>
      </c>
      <c r="L433" s="3" t="str">
        <f>_xlfn.XLOOKUP(A:A,Gemini建議!A:A,Gemini建議!B:B,"")</f>
        <v/>
      </c>
      <c r="M433" s="1"/>
      <c r="N433" s="1"/>
    </row>
    <row r="434" spans="1:14" ht="30" hidden="1" customHeight="1">
      <c r="A434" s="2" t="str">
        <f>表格2[[#This Row],[站名]]&amp;表格2[[#This Row],[城市]]</f>
        <v>六龜高雄市</v>
      </c>
      <c r="B434" s="1" t="s">
        <v>1687</v>
      </c>
      <c r="C434" s="1" t="s">
        <v>1688</v>
      </c>
      <c r="D434" s="1">
        <v>22.997900000000001</v>
      </c>
      <c r="E434" s="1">
        <v>120.6336</v>
      </c>
      <c r="F434" s="1" t="s">
        <v>1689</v>
      </c>
      <c r="G434" s="1" t="s">
        <v>2549</v>
      </c>
      <c r="H434" s="1" t="s">
        <v>1598</v>
      </c>
      <c r="I434" s="1" t="s">
        <v>1690</v>
      </c>
      <c r="J434" s="1"/>
      <c r="K434" s="2">
        <v>41556</v>
      </c>
      <c r="L434" s="3" t="str">
        <f>_xlfn.XLOOKUP(A:A,Gemini建議!A:A,Gemini建議!B:B,"")</f>
        <v/>
      </c>
      <c r="M434" s="1"/>
      <c r="N434" s="1"/>
    </row>
    <row r="435" spans="1:14" ht="30" hidden="1" customHeight="1">
      <c r="A435" s="2" t="str">
        <f>表格2[[#This Row],[站名]]&amp;表格2[[#This Row],[城市]]</f>
        <v>左營高雄市</v>
      </c>
      <c r="B435" s="1" t="s">
        <v>1691</v>
      </c>
      <c r="C435" s="1" t="s">
        <v>1692</v>
      </c>
      <c r="D435" s="1">
        <v>22.674900000000001</v>
      </c>
      <c r="E435" s="1">
        <v>120.28489999999999</v>
      </c>
      <c r="F435" s="1" t="s">
        <v>107</v>
      </c>
      <c r="G435" s="1" t="s">
        <v>2549</v>
      </c>
      <c r="H435" s="1" t="s">
        <v>1598</v>
      </c>
      <c r="I435" s="1" t="s">
        <v>1693</v>
      </c>
      <c r="J435" s="1" t="s">
        <v>402</v>
      </c>
      <c r="K435" s="2">
        <v>42256</v>
      </c>
      <c r="L435" s="3" t="str">
        <f>_xlfn.XLOOKUP(A:A,Gemini建議!A:A,Gemini建議!B:B,"")</f>
        <v/>
      </c>
      <c r="M435" s="1"/>
      <c r="N435" s="1"/>
    </row>
    <row r="436" spans="1:14" ht="30" hidden="1" customHeight="1">
      <c r="A436" s="2" t="str">
        <f>表格2[[#This Row],[站名]]&amp;表格2[[#This Row],[城市]]</f>
        <v>小林高雄市</v>
      </c>
      <c r="B436" s="1" t="s">
        <v>1694</v>
      </c>
      <c r="C436" s="1" t="s">
        <v>1695</v>
      </c>
      <c r="D436" s="1">
        <v>23.148399999999999</v>
      </c>
      <c r="E436" s="1">
        <v>120.63330000000001</v>
      </c>
      <c r="F436" s="1" t="s">
        <v>1696</v>
      </c>
      <c r="G436" s="1" t="s">
        <v>2549</v>
      </c>
      <c r="H436" s="1" t="s">
        <v>1598</v>
      </c>
      <c r="I436" s="1" t="s">
        <v>1697</v>
      </c>
      <c r="J436" s="1"/>
      <c r="K436" s="2">
        <v>43454</v>
      </c>
      <c r="L436" s="3" t="str">
        <f>_xlfn.XLOOKUP(A:A,Gemini建議!A:A,Gemini建議!B:B,"")</f>
        <v/>
      </c>
      <c r="M436" s="1"/>
      <c r="N436" s="1"/>
    </row>
    <row r="437" spans="1:14" ht="30" hidden="1" customHeight="1">
      <c r="A437" s="2" t="str">
        <f>表格2[[#This Row],[站名]]&amp;表格2[[#This Row],[城市]]</f>
        <v>鳳鼻頭高雄市</v>
      </c>
      <c r="B437" s="1" t="s">
        <v>1698</v>
      </c>
      <c r="C437" s="1" t="s">
        <v>1699</v>
      </c>
      <c r="D437" s="1">
        <v>22.508299999999998</v>
      </c>
      <c r="E437" s="1">
        <v>120.3591</v>
      </c>
      <c r="F437" s="1" t="s">
        <v>71</v>
      </c>
      <c r="G437" s="1" t="s">
        <v>2549</v>
      </c>
      <c r="H437" s="1" t="s">
        <v>1598</v>
      </c>
      <c r="I437" s="1" t="s">
        <v>1700</v>
      </c>
      <c r="J437" s="1"/>
      <c r="K437" s="2">
        <v>44921</v>
      </c>
      <c r="L437" s="3" t="str">
        <f>_xlfn.XLOOKUP(A:A,Gemini建議!A:A,Gemini建議!B:B,"")</f>
        <v/>
      </c>
      <c r="M437" s="1"/>
      <c r="N437" s="1"/>
    </row>
    <row r="438" spans="1:14" ht="30" hidden="1" customHeight="1">
      <c r="A438" s="2" t="str">
        <f>表格2[[#This Row],[站名]]&amp;表格2[[#This Row],[城市]]</f>
        <v>蚵仔寮高雄市</v>
      </c>
      <c r="B438" s="1" t="s">
        <v>1701</v>
      </c>
      <c r="C438" s="1" t="s">
        <v>1702</v>
      </c>
      <c r="D438" s="1">
        <v>22.7256</v>
      </c>
      <c r="E438" s="1">
        <v>120.2527</v>
      </c>
      <c r="F438" s="1" t="s">
        <v>175</v>
      </c>
      <c r="G438" s="1" t="s">
        <v>2549</v>
      </c>
      <c r="H438" s="1" t="s">
        <v>1598</v>
      </c>
      <c r="I438" s="1" t="s">
        <v>1703</v>
      </c>
      <c r="J438" s="1"/>
      <c r="K438" s="2">
        <v>44921</v>
      </c>
      <c r="L438" s="3" t="str">
        <f>_xlfn.XLOOKUP(A:A,Gemini建議!A:A,Gemini建議!B:B,"")</f>
        <v/>
      </c>
      <c r="M438" s="1"/>
      <c r="N438" s="1"/>
    </row>
    <row r="439" spans="1:14" ht="30" hidden="1" customHeight="1">
      <c r="A439" s="2" t="str">
        <f>表格2[[#This Row],[站名]]&amp;表格2[[#This Row],[城市]]</f>
        <v>南寮高雄市</v>
      </c>
      <c r="B439" s="1" t="s">
        <v>1704</v>
      </c>
      <c r="C439" s="1" t="s">
        <v>1705</v>
      </c>
      <c r="D439" s="1">
        <v>22.761600000000001</v>
      </c>
      <c r="E439" s="1">
        <v>120.23390000000001</v>
      </c>
      <c r="F439" s="1" t="s">
        <v>817</v>
      </c>
      <c r="G439" s="1" t="s">
        <v>2549</v>
      </c>
      <c r="H439" s="1" t="s">
        <v>1598</v>
      </c>
      <c r="I439" s="1" t="s">
        <v>1706</v>
      </c>
      <c r="J439" s="1"/>
      <c r="K439" s="2">
        <v>44921</v>
      </c>
      <c r="L439" s="3" t="str">
        <f>_xlfn.XLOOKUP(A:A,Gemini建議!A:A,Gemini建議!B:B,"")</f>
        <v/>
      </c>
      <c r="M439" s="1"/>
      <c r="N439" s="1"/>
    </row>
    <row r="440" spans="1:14" ht="30" hidden="1" customHeight="1">
      <c r="A440" s="2" t="str">
        <f>表格2[[#This Row],[站名]]&amp;表格2[[#This Row],[城市]]</f>
        <v>文安高雄市</v>
      </c>
      <c r="B440" s="1" t="s">
        <v>1707</v>
      </c>
      <c r="C440" s="1" t="s">
        <v>1708</v>
      </c>
      <c r="D440" s="1">
        <v>22.802499999999998</v>
      </c>
      <c r="E440" s="1">
        <v>120.21639999999999</v>
      </c>
      <c r="F440" s="1" t="s">
        <v>198</v>
      </c>
      <c r="G440" s="1" t="s">
        <v>2549</v>
      </c>
      <c r="H440" s="1" t="s">
        <v>1598</v>
      </c>
      <c r="I440" s="1" t="s">
        <v>1709</v>
      </c>
      <c r="J440" s="1"/>
      <c r="K440" s="2">
        <v>44921</v>
      </c>
      <c r="L440" s="3" t="str">
        <f>_xlfn.XLOOKUP(A:A,Gemini建議!A:A,Gemini建議!B:B,"")</f>
        <v/>
      </c>
      <c r="M440" s="1"/>
      <c r="N440" s="1"/>
    </row>
    <row r="441" spans="1:14" ht="30" hidden="1" customHeight="1">
      <c r="A441" s="2" t="str">
        <f>表格2[[#This Row],[站名]]&amp;表格2[[#This Row],[城市]]</f>
        <v>興達高雄市</v>
      </c>
      <c r="B441" s="1" t="s">
        <v>1710</v>
      </c>
      <c r="C441" s="1" t="s">
        <v>1711</v>
      </c>
      <c r="D441" s="1">
        <v>22.877800000000001</v>
      </c>
      <c r="E441" s="1">
        <v>120.2127</v>
      </c>
      <c r="F441" s="1" t="s">
        <v>252</v>
      </c>
      <c r="G441" s="1" t="s">
        <v>2549</v>
      </c>
      <c r="H441" s="1" t="s">
        <v>1598</v>
      </c>
      <c r="I441" s="1" t="s">
        <v>1712</v>
      </c>
      <c r="J441" s="1"/>
      <c r="K441" s="2">
        <v>44921</v>
      </c>
      <c r="L441" s="3" t="str">
        <f>_xlfn.XLOOKUP(A:A,Gemini建議!A:A,Gemini建議!B:B,"")</f>
        <v/>
      </c>
      <c r="M441" s="1"/>
      <c r="N441" s="1"/>
    </row>
    <row r="442" spans="1:14" ht="30" hidden="1" customHeight="1">
      <c r="A442" s="2" t="str">
        <f>表格2[[#This Row],[站名]]&amp;表格2[[#This Row],[城市]]</f>
        <v>前鎮高雄市</v>
      </c>
      <c r="B442" s="1" t="s">
        <v>1713</v>
      </c>
      <c r="C442" s="1" t="s">
        <v>1714</v>
      </c>
      <c r="D442" s="1">
        <v>22.5718</v>
      </c>
      <c r="E442" s="1">
        <v>120.3117</v>
      </c>
      <c r="F442" s="1" t="s">
        <v>94</v>
      </c>
      <c r="G442" s="1" t="s">
        <v>2549</v>
      </c>
      <c r="H442" s="1" t="s">
        <v>1598</v>
      </c>
      <c r="I442" s="1" t="s">
        <v>1715</v>
      </c>
      <c r="J442" s="1"/>
      <c r="K442" s="2">
        <v>44921</v>
      </c>
      <c r="L442" s="3" t="str">
        <f>_xlfn.XLOOKUP(A:A,Gemini建議!A:A,Gemini建議!B:B,"")</f>
        <v/>
      </c>
      <c r="M442" s="1"/>
      <c r="N442" s="1"/>
    </row>
    <row r="443" spans="1:14" ht="30" hidden="1" customHeight="1">
      <c r="A443" s="2" t="str">
        <f>表格2[[#This Row],[站名]]&amp;表格2[[#This Row],[城市]]</f>
        <v>汕尾高雄市</v>
      </c>
      <c r="B443" s="1" t="s">
        <v>1716</v>
      </c>
      <c r="C443" s="1" t="s">
        <v>1717</v>
      </c>
      <c r="D443" s="1">
        <v>22.478200000000001</v>
      </c>
      <c r="E443" s="1">
        <v>120.4151</v>
      </c>
      <c r="F443" s="1" t="s">
        <v>1718</v>
      </c>
      <c r="G443" s="1" t="s">
        <v>2549</v>
      </c>
      <c r="H443" s="1" t="s">
        <v>1598</v>
      </c>
      <c r="I443" s="1" t="s">
        <v>1719</v>
      </c>
      <c r="J443" s="1"/>
      <c r="K443" s="2">
        <v>44921</v>
      </c>
      <c r="L443" s="3" t="str">
        <f>_xlfn.XLOOKUP(A:A,Gemini建議!A:A,Gemini建議!B:B,"")</f>
        <v/>
      </c>
      <c r="M443" s="1"/>
      <c r="N443" s="1"/>
    </row>
    <row r="444" spans="1:14" ht="30" hidden="1" customHeight="1">
      <c r="A444" s="2" t="str">
        <f>表格2[[#This Row],[站名]]&amp;表格2[[#This Row],[城市]]</f>
        <v>大樹高雄市</v>
      </c>
      <c r="B444" s="1" t="s">
        <v>1720</v>
      </c>
      <c r="C444" s="1" t="s">
        <v>1721</v>
      </c>
      <c r="D444" s="1">
        <v>22.6846</v>
      </c>
      <c r="E444" s="1">
        <v>120.4328</v>
      </c>
      <c r="F444" s="1" t="s">
        <v>171</v>
      </c>
      <c r="G444" s="1" t="s">
        <v>2549</v>
      </c>
      <c r="H444" s="1" t="s">
        <v>1598</v>
      </c>
      <c r="I444" s="1" t="s">
        <v>1722</v>
      </c>
      <c r="J444" s="1"/>
      <c r="K444" s="2">
        <v>45693</v>
      </c>
      <c r="L444" s="3" t="str">
        <f>_xlfn.XLOOKUP(A:A,Gemini建議!A:A,Gemini建議!B:B,"")</f>
        <v/>
      </c>
      <c r="M444" s="1"/>
      <c r="N444" s="1"/>
    </row>
    <row r="445" spans="1:14" ht="30" customHeight="1">
      <c r="A445" s="2" t="str">
        <f>表格2[[#This Row],[站名]]&amp;表格2[[#This Row],[城市]]</f>
        <v>東莒連江縣</v>
      </c>
      <c r="B445" s="1" t="s">
        <v>1723</v>
      </c>
      <c r="C445" s="1" t="s">
        <v>1724</v>
      </c>
      <c r="D445" s="1">
        <v>25.965199999999999</v>
      </c>
      <c r="E445" s="1">
        <v>119.9807</v>
      </c>
      <c r="F445" s="1" t="s">
        <v>1156</v>
      </c>
      <c r="G445" s="1" t="s">
        <v>2556</v>
      </c>
      <c r="H445" s="1" t="s">
        <v>1725</v>
      </c>
      <c r="I445" s="1" t="s">
        <v>1726</v>
      </c>
      <c r="J445" s="1"/>
      <c r="K445" s="2">
        <v>42471</v>
      </c>
      <c r="L445" s="3" t="str">
        <f>_xlfn.XLOOKUP(A:A,Gemini建議!A:A,Gemini建議!B:B,"")</f>
        <v>低海拔代表站</v>
      </c>
      <c r="M445" s="1"/>
      <c r="N445" s="1"/>
    </row>
    <row r="446" spans="1:14" ht="30" hidden="1" customHeight="1">
      <c r="A446" s="2" t="str">
        <f>表格2[[#This Row],[站名]]&amp;表格2[[#This Row],[城市]]</f>
        <v>西嶼澎湖縣</v>
      </c>
      <c r="B446" s="1" t="s">
        <v>1727</v>
      </c>
      <c r="C446" s="1" t="s">
        <v>1728</v>
      </c>
      <c r="D446" s="1">
        <v>23.5626</v>
      </c>
      <c r="E446" s="1">
        <v>119.4684</v>
      </c>
      <c r="F446" s="1" t="s">
        <v>565</v>
      </c>
      <c r="G446" s="1" t="s">
        <v>2554</v>
      </c>
      <c r="H446" s="1" t="s">
        <v>1729</v>
      </c>
      <c r="I446" s="1" t="s">
        <v>1730</v>
      </c>
      <c r="J446" s="1"/>
      <c r="K446" s="2">
        <v>42479</v>
      </c>
      <c r="L446" s="3" t="str">
        <f>_xlfn.XLOOKUP(A:A,Gemini建議!A:A,Gemini建議!B:B,"")</f>
        <v/>
      </c>
      <c r="M446" s="1"/>
      <c r="N446" s="1"/>
    </row>
    <row r="447" spans="1:14" ht="30" customHeight="1">
      <c r="A447" s="2" t="str">
        <f>表格2[[#This Row],[站名]]&amp;表格2[[#This Row],[城市]]</f>
        <v>花嶼澎湖縣</v>
      </c>
      <c r="B447" s="1" t="s">
        <v>1731</v>
      </c>
      <c r="C447" s="1" t="s">
        <v>1732</v>
      </c>
      <c r="D447" s="1">
        <v>23.400099999999998</v>
      </c>
      <c r="E447" s="1">
        <v>119.3228</v>
      </c>
      <c r="F447" s="1" t="s">
        <v>203</v>
      </c>
      <c r="G447" s="1" t="s">
        <v>2554</v>
      </c>
      <c r="H447" s="1" t="s">
        <v>1729</v>
      </c>
      <c r="I447" s="1" t="s">
        <v>1733</v>
      </c>
      <c r="J447" s="1"/>
      <c r="K447" s="2">
        <v>42476</v>
      </c>
      <c r="L447" s="3" t="str">
        <f>_xlfn.XLOOKUP(A:A,Gemini建議!A:A,Gemini建議!B:B,"")</f>
        <v>低海拔代表站</v>
      </c>
      <c r="M447" s="1"/>
      <c r="N447" s="1"/>
    </row>
    <row r="448" spans="1:14" ht="30" hidden="1" customHeight="1">
      <c r="A448" s="2" t="str">
        <f>表格2[[#This Row],[站名]]&amp;表格2[[#This Row],[城市]]</f>
        <v>金沙金門縣</v>
      </c>
      <c r="B448" s="1" t="s">
        <v>1734</v>
      </c>
      <c r="C448" s="1" t="s">
        <v>1735</v>
      </c>
      <c r="D448" s="1">
        <v>24.488299999999999</v>
      </c>
      <c r="E448" s="1">
        <v>118.4088</v>
      </c>
      <c r="F448" s="1" t="s">
        <v>190</v>
      </c>
      <c r="G448" s="1" t="s">
        <v>2555</v>
      </c>
      <c r="H448" s="1" t="s">
        <v>1736</v>
      </c>
      <c r="I448" s="1" t="s">
        <v>1737</v>
      </c>
      <c r="J448" s="1"/>
      <c r="K448" s="2">
        <v>42598</v>
      </c>
      <c r="L448" s="3" t="str">
        <f>_xlfn.XLOOKUP(A:A,Gemini建議!A:A,Gemini建議!B:B,"")</f>
        <v/>
      </c>
      <c r="M448" s="1"/>
      <c r="N448" s="1"/>
    </row>
    <row r="449" spans="1:14" ht="30" customHeight="1">
      <c r="A449" s="2" t="str">
        <f>表格2[[#This Row],[站名]]&amp;表格2[[#This Row],[城市]]</f>
        <v>金寧金門縣</v>
      </c>
      <c r="B449" s="1" t="s">
        <v>1738</v>
      </c>
      <c r="C449" s="1" t="s">
        <v>1739</v>
      </c>
      <c r="D449" s="1">
        <v>24.457699999999999</v>
      </c>
      <c r="E449" s="1">
        <v>118.32899999999999</v>
      </c>
      <c r="F449" s="1" t="s">
        <v>667</v>
      </c>
      <c r="G449" s="1" t="s">
        <v>2555</v>
      </c>
      <c r="H449" s="1" t="s">
        <v>1736</v>
      </c>
      <c r="I449" s="1" t="s">
        <v>1740</v>
      </c>
      <c r="J449" s="1"/>
      <c r="K449" s="2">
        <v>42598</v>
      </c>
      <c r="L449" s="3" t="str">
        <f>_xlfn.XLOOKUP(A:A,Gemini建議!A:A,Gemini建議!B:B,"")</f>
        <v>低海拔代表站</v>
      </c>
      <c r="M449" s="1"/>
      <c r="N449" s="1"/>
    </row>
    <row r="450" spans="1:14" ht="30" hidden="1" customHeight="1">
      <c r="A450" s="2" t="str">
        <f>表格2[[#This Row],[站名]]&amp;表格2[[#This Row],[城市]]</f>
        <v>烏坵金門縣</v>
      </c>
      <c r="B450" s="1" t="s">
        <v>1741</v>
      </c>
      <c r="C450" s="1" t="s">
        <v>1742</v>
      </c>
      <c r="D450" s="1">
        <v>24.994399999999999</v>
      </c>
      <c r="E450" s="1">
        <v>119.4496</v>
      </c>
      <c r="F450" s="1" t="s">
        <v>55</v>
      </c>
      <c r="G450" s="1" t="s">
        <v>2555</v>
      </c>
      <c r="H450" s="1" t="s">
        <v>1736</v>
      </c>
      <c r="I450" s="1" t="s">
        <v>1743</v>
      </c>
      <c r="J450" s="1"/>
      <c r="K450" s="2">
        <v>42599</v>
      </c>
      <c r="L450" s="3" t="str">
        <f>_xlfn.XLOOKUP(A:A,Gemini建議!A:A,Gemini建議!B:B,"")</f>
        <v/>
      </c>
      <c r="M450" s="1"/>
      <c r="N450" s="1"/>
    </row>
    <row r="451" spans="1:14" ht="30" hidden="1" customHeight="1">
      <c r="A451" s="2" t="str">
        <f>表格2[[#This Row],[站名]]&amp;表格2[[#This Row],[城市]]</f>
        <v>七美澎湖縣</v>
      </c>
      <c r="B451" s="1" t="s">
        <v>1744</v>
      </c>
      <c r="C451" s="1" t="s">
        <v>1745</v>
      </c>
      <c r="D451" s="1">
        <v>23.2193</v>
      </c>
      <c r="E451" s="1">
        <v>119.4449</v>
      </c>
      <c r="F451" s="1" t="s">
        <v>646</v>
      </c>
      <c r="G451" s="1" t="s">
        <v>2554</v>
      </c>
      <c r="H451" s="1" t="s">
        <v>1729</v>
      </c>
      <c r="I451" s="1" t="s">
        <v>1746</v>
      </c>
      <c r="J451" s="1"/>
      <c r="K451" s="2">
        <v>45299</v>
      </c>
      <c r="L451" s="3" t="str">
        <f>_xlfn.XLOOKUP(A:A,Gemini建議!A:A,Gemini建議!B:B,"")</f>
        <v/>
      </c>
      <c r="M451" s="1"/>
      <c r="N451" s="1"/>
    </row>
    <row r="452" spans="1:14" ht="30" hidden="1" customHeight="1">
      <c r="A452" s="2" t="str">
        <f>表格2[[#This Row],[站名]]&amp;表格2[[#This Row],[城市]]</f>
        <v>望安澎湖縣</v>
      </c>
      <c r="B452" s="1" t="s">
        <v>1747</v>
      </c>
      <c r="C452" s="1" t="s">
        <v>1748</v>
      </c>
      <c r="D452" s="1">
        <v>23.380600000000001</v>
      </c>
      <c r="E452" s="1">
        <v>119.4941</v>
      </c>
      <c r="F452" s="1" t="s">
        <v>1749</v>
      </c>
      <c r="G452" s="1" t="s">
        <v>2554</v>
      </c>
      <c r="H452" s="1" t="s">
        <v>1729</v>
      </c>
      <c r="I452" s="1" t="s">
        <v>1750</v>
      </c>
      <c r="J452" s="1"/>
      <c r="K452" s="2">
        <v>45299</v>
      </c>
      <c r="L452" s="3" t="str">
        <f>_xlfn.XLOOKUP(A:A,Gemini建議!A:A,Gemini建議!B:B,"")</f>
        <v/>
      </c>
      <c r="M452" s="1"/>
      <c r="N452" s="1"/>
    </row>
    <row r="453" spans="1:14" ht="30" hidden="1" customHeight="1">
      <c r="A453" s="2" t="str">
        <f>表格2[[#This Row],[站名]]&amp;表格2[[#This Row],[城市]]</f>
        <v>湖西澎湖縣</v>
      </c>
      <c r="B453" s="1" t="s">
        <v>1751</v>
      </c>
      <c r="C453" s="1" t="s">
        <v>1752</v>
      </c>
      <c r="D453" s="1">
        <v>23.596299999999999</v>
      </c>
      <c r="E453" s="1">
        <v>119.67270000000001</v>
      </c>
      <c r="F453" s="1" t="s">
        <v>203</v>
      </c>
      <c r="G453" s="1" t="s">
        <v>2554</v>
      </c>
      <c r="H453" s="1" t="s">
        <v>1729</v>
      </c>
      <c r="I453" s="1" t="s">
        <v>1753</v>
      </c>
      <c r="J453" s="1"/>
      <c r="K453" s="2">
        <v>45299</v>
      </c>
      <c r="L453" s="3" t="str">
        <f>_xlfn.XLOOKUP(A:A,Gemini建議!A:A,Gemini建議!B:B,"")</f>
        <v/>
      </c>
      <c r="M453" s="1"/>
      <c r="N453" s="1"/>
    </row>
    <row r="454" spans="1:14" ht="30" hidden="1" customHeight="1">
      <c r="A454" s="2" t="str">
        <f>表格2[[#This Row],[站名]]&amp;表格2[[#This Row],[城市]]</f>
        <v>北竿連江縣</v>
      </c>
      <c r="B454" s="1" t="s">
        <v>1754</v>
      </c>
      <c r="C454" s="1" t="s">
        <v>1755</v>
      </c>
      <c r="D454" s="1">
        <v>26.220400000000001</v>
      </c>
      <c r="E454" s="1">
        <v>119.97490000000001</v>
      </c>
      <c r="F454" s="1" t="s">
        <v>46</v>
      </c>
      <c r="G454" s="1" t="s">
        <v>2556</v>
      </c>
      <c r="H454" s="1" t="s">
        <v>1725</v>
      </c>
      <c r="I454" s="1" t="s">
        <v>1756</v>
      </c>
      <c r="J454" s="1"/>
      <c r="K454" s="2">
        <v>45299</v>
      </c>
      <c r="L454" s="3" t="str">
        <f>_xlfn.XLOOKUP(A:A,Gemini建議!A:A,Gemini建議!B:B,"")</f>
        <v/>
      </c>
      <c r="M454" s="1"/>
      <c r="N454" s="1"/>
    </row>
    <row r="455" spans="1:14" ht="30" hidden="1" customHeight="1">
      <c r="A455" s="2" t="str">
        <f>表格2[[#This Row],[站名]]&amp;表格2[[#This Row],[城市]]</f>
        <v>九宮金門縣</v>
      </c>
      <c r="B455" s="1" t="s">
        <v>1757</v>
      </c>
      <c r="C455" s="1" t="s">
        <v>1758</v>
      </c>
      <c r="D455" s="1">
        <v>24.4238</v>
      </c>
      <c r="E455" s="1">
        <v>118.2402</v>
      </c>
      <c r="F455" s="1" t="s">
        <v>1749</v>
      </c>
      <c r="G455" s="1" t="s">
        <v>2555</v>
      </c>
      <c r="H455" s="1" t="s">
        <v>1736</v>
      </c>
      <c r="I455" s="1" t="s">
        <v>1759</v>
      </c>
      <c r="J455" s="1"/>
      <c r="K455" s="2">
        <v>45693</v>
      </c>
      <c r="L455" s="3" t="str">
        <f>_xlfn.XLOOKUP(A:A,Gemini建議!A:A,Gemini建議!B:B,"")</f>
        <v/>
      </c>
      <c r="M455" s="1"/>
      <c r="N455" s="1"/>
    </row>
    <row r="456" spans="1:14" ht="30" hidden="1" customHeight="1">
      <c r="A456" s="2" t="str">
        <f>表格2[[#This Row],[站名]]&amp;表格2[[#This Row],[城市]]</f>
        <v>東河臺南市</v>
      </c>
      <c r="B456" s="1" t="s">
        <v>1243</v>
      </c>
      <c r="C456" s="1" t="s">
        <v>1760</v>
      </c>
      <c r="D456" s="1">
        <v>23.296600000000002</v>
      </c>
      <c r="E456" s="1">
        <v>120.3856</v>
      </c>
      <c r="F456" s="1" t="s">
        <v>94</v>
      </c>
      <c r="G456" s="1" t="s">
        <v>2548</v>
      </c>
      <c r="H456" s="1" t="s">
        <v>926</v>
      </c>
      <c r="I456" s="1" t="s">
        <v>1761</v>
      </c>
      <c r="J456" s="1" t="s">
        <v>1762</v>
      </c>
      <c r="K456" s="2">
        <v>42186</v>
      </c>
      <c r="L456" s="3" t="str">
        <f>_xlfn.XLOOKUP(A:A,Gemini建議!A:A,Gemini建議!B:B,"")</f>
        <v/>
      </c>
      <c r="M456" s="1"/>
      <c r="N456" s="1"/>
    </row>
    <row r="457" spans="1:14" ht="30" hidden="1" customHeight="1">
      <c r="A457" s="2" t="str">
        <f>表格2[[#This Row],[站名]]&amp;表格2[[#This Row],[城市]]</f>
        <v>佳里臺南市</v>
      </c>
      <c r="B457" s="1" t="s">
        <v>1763</v>
      </c>
      <c r="C457" s="1" t="s">
        <v>1764</v>
      </c>
      <c r="D457" s="1">
        <v>23.172999999999998</v>
      </c>
      <c r="E457" s="1">
        <v>120.1451</v>
      </c>
      <c r="F457" s="1" t="s">
        <v>933</v>
      </c>
      <c r="G457" s="1" t="s">
        <v>2548</v>
      </c>
      <c r="H457" s="1" t="s">
        <v>926</v>
      </c>
      <c r="I457" s="1" t="s">
        <v>1765</v>
      </c>
      <c r="J457" s="1" t="s">
        <v>1766</v>
      </c>
      <c r="K457" s="2">
        <v>33947</v>
      </c>
      <c r="L457" s="3" t="str">
        <f>_xlfn.XLOOKUP(A:A,Gemini建議!A:A,Gemini建議!B:B,"")</f>
        <v/>
      </c>
      <c r="M457" s="1"/>
      <c r="N457" s="1"/>
    </row>
    <row r="458" spans="1:14" ht="30" hidden="1" customHeight="1">
      <c r="A458" s="2" t="str">
        <f>表格2[[#This Row],[站名]]&amp;表格2[[#This Row],[城市]]</f>
        <v>臺南市北區臺南市</v>
      </c>
      <c r="B458" s="1" t="s">
        <v>1767</v>
      </c>
      <c r="C458" s="1" t="s">
        <v>1768</v>
      </c>
      <c r="D458" s="1">
        <v>23.010400000000001</v>
      </c>
      <c r="E458" s="1">
        <v>120.1942</v>
      </c>
      <c r="F458" s="1" t="s">
        <v>817</v>
      </c>
      <c r="G458" s="1" t="s">
        <v>2548</v>
      </c>
      <c r="H458" s="1" t="s">
        <v>926</v>
      </c>
      <c r="I458" s="1" t="s">
        <v>1769</v>
      </c>
      <c r="J458" s="1"/>
      <c r="K458" s="2">
        <v>41325</v>
      </c>
      <c r="L458" s="3" t="str">
        <f>_xlfn.XLOOKUP(A:A,Gemini建議!A:A,Gemini建議!B:B,"")</f>
        <v/>
      </c>
      <c r="M458" s="1"/>
      <c r="N458" s="1"/>
    </row>
    <row r="459" spans="1:14" ht="30" hidden="1" customHeight="1">
      <c r="A459" s="2" t="str">
        <f>表格2[[#This Row],[站名]]&amp;表格2[[#This Row],[城市]]</f>
        <v>臺南市南區臺南市</v>
      </c>
      <c r="B459" s="1" t="s">
        <v>1770</v>
      </c>
      <c r="C459" s="1" t="s">
        <v>1771</v>
      </c>
      <c r="D459" s="1">
        <v>22.961200000000002</v>
      </c>
      <c r="E459" s="1">
        <v>120.1884</v>
      </c>
      <c r="F459" s="1" t="s">
        <v>103</v>
      </c>
      <c r="G459" s="1" t="s">
        <v>2548</v>
      </c>
      <c r="H459" s="1" t="s">
        <v>926</v>
      </c>
      <c r="I459" s="1" t="s">
        <v>1772</v>
      </c>
      <c r="J459" s="1"/>
      <c r="K459" s="2">
        <v>41325</v>
      </c>
      <c r="L459" s="3" t="str">
        <f>_xlfn.XLOOKUP(A:A,Gemini建議!A:A,Gemini建議!B:B,"")</f>
        <v/>
      </c>
      <c r="M459" s="1"/>
      <c r="N459" s="1"/>
    </row>
    <row r="460" spans="1:14" ht="30" hidden="1" customHeight="1">
      <c r="A460" s="2" t="str">
        <f>表格2[[#This Row],[站名]]&amp;表格2[[#This Row],[城市]]</f>
        <v>麻豆臺南市</v>
      </c>
      <c r="B460" s="1" t="s">
        <v>1773</v>
      </c>
      <c r="C460" s="1" t="s">
        <v>1774</v>
      </c>
      <c r="D460" s="1">
        <v>23.183299999999999</v>
      </c>
      <c r="E460" s="1">
        <v>120.2486</v>
      </c>
      <c r="F460" s="1" t="s">
        <v>1330</v>
      </c>
      <c r="G460" s="1" t="s">
        <v>2548</v>
      </c>
      <c r="H460" s="1" t="s">
        <v>926</v>
      </c>
      <c r="I460" s="1" t="s">
        <v>1775</v>
      </c>
      <c r="J460" s="1"/>
      <c r="K460" s="2">
        <v>41342</v>
      </c>
      <c r="L460" s="3" t="str">
        <f>_xlfn.XLOOKUP(A:A,Gemini建議!A:A,Gemini建議!B:B,"")</f>
        <v/>
      </c>
      <c r="M460" s="1"/>
      <c r="N460" s="1"/>
    </row>
    <row r="461" spans="1:14" ht="30" hidden="1" customHeight="1">
      <c r="A461" s="2" t="str">
        <f>表格2[[#This Row],[站名]]&amp;表格2[[#This Row],[城市]]</f>
        <v>官田臺南市</v>
      </c>
      <c r="B461" s="1" t="s">
        <v>1776</v>
      </c>
      <c r="C461" s="1" t="s">
        <v>1777</v>
      </c>
      <c r="D461" s="1">
        <v>23.193200000000001</v>
      </c>
      <c r="E461" s="1">
        <v>120.3154</v>
      </c>
      <c r="F461" s="1" t="s">
        <v>99</v>
      </c>
      <c r="G461" s="1" t="s">
        <v>2548</v>
      </c>
      <c r="H461" s="1" t="s">
        <v>926</v>
      </c>
      <c r="I461" s="1" t="s">
        <v>1778</v>
      </c>
      <c r="J461" s="1"/>
      <c r="K461" s="2">
        <v>41334</v>
      </c>
      <c r="L461" s="3" t="str">
        <f>_xlfn.XLOOKUP(A:A,Gemini建議!A:A,Gemini建議!B:B,"")</f>
        <v/>
      </c>
      <c r="M461" s="1"/>
      <c r="N461" s="1"/>
    </row>
    <row r="462" spans="1:14" ht="30" hidden="1" customHeight="1">
      <c r="A462" s="2" t="str">
        <f>表格2[[#This Row],[站名]]&amp;表格2[[#This Row],[城市]]</f>
        <v>西港臺南市</v>
      </c>
      <c r="B462" s="1" t="s">
        <v>1779</v>
      </c>
      <c r="C462" s="1" t="s">
        <v>1780</v>
      </c>
      <c r="D462" s="1">
        <v>23.125599999999999</v>
      </c>
      <c r="E462" s="1">
        <v>120.20310000000001</v>
      </c>
      <c r="F462" s="1" t="s">
        <v>1056</v>
      </c>
      <c r="G462" s="1" t="s">
        <v>2548</v>
      </c>
      <c r="H462" s="1" t="s">
        <v>926</v>
      </c>
      <c r="I462" s="1" t="s">
        <v>1781</v>
      </c>
      <c r="J462" s="1"/>
      <c r="K462" s="2">
        <v>41334</v>
      </c>
      <c r="L462" s="3" t="str">
        <f>_xlfn.XLOOKUP(A:A,Gemini建議!A:A,Gemini建議!B:B,"")</f>
        <v/>
      </c>
      <c r="M462" s="1"/>
      <c r="N462" s="1"/>
    </row>
    <row r="463" spans="1:14" ht="30" hidden="1" customHeight="1">
      <c r="A463" s="2" t="str">
        <f>表格2[[#This Row],[站名]]&amp;表格2[[#This Row],[城市]]</f>
        <v>安定臺南市</v>
      </c>
      <c r="B463" s="1" t="s">
        <v>1782</v>
      </c>
      <c r="C463" s="1" t="s">
        <v>1783</v>
      </c>
      <c r="D463" s="1">
        <v>23.102599999999999</v>
      </c>
      <c r="E463" s="1">
        <v>120.2278</v>
      </c>
      <c r="F463" s="1" t="s">
        <v>203</v>
      </c>
      <c r="G463" s="1" t="s">
        <v>2548</v>
      </c>
      <c r="H463" s="1" t="s">
        <v>926</v>
      </c>
      <c r="I463" s="1" t="s">
        <v>1784</v>
      </c>
      <c r="J463" s="1"/>
      <c r="K463" s="2">
        <v>41348</v>
      </c>
      <c r="L463" s="3" t="str">
        <f>_xlfn.XLOOKUP(A:A,Gemini建議!A:A,Gemini建議!B:B,"")</f>
        <v/>
      </c>
      <c r="M463" s="1"/>
      <c r="N463" s="1"/>
    </row>
    <row r="464" spans="1:14" ht="30" hidden="1" customHeight="1">
      <c r="A464" s="2" t="str">
        <f>表格2[[#This Row],[站名]]&amp;表格2[[#This Row],[城市]]</f>
        <v>仁德臺南市</v>
      </c>
      <c r="B464" s="1" t="s">
        <v>1785</v>
      </c>
      <c r="C464" s="1" t="s">
        <v>1786</v>
      </c>
      <c r="D464" s="1">
        <v>22.968299999999999</v>
      </c>
      <c r="E464" s="1">
        <v>120.2577</v>
      </c>
      <c r="F464" s="1" t="s">
        <v>162</v>
      </c>
      <c r="G464" s="1" t="s">
        <v>2548</v>
      </c>
      <c r="H464" s="1" t="s">
        <v>926</v>
      </c>
      <c r="I464" s="1" t="s">
        <v>1787</v>
      </c>
      <c r="J464" s="1"/>
      <c r="K464" s="2">
        <v>41333</v>
      </c>
      <c r="L464" s="3" t="str">
        <f>_xlfn.XLOOKUP(A:A,Gemini建議!A:A,Gemini建議!B:B,"")</f>
        <v/>
      </c>
      <c r="M464" s="1"/>
      <c r="N464" s="1"/>
    </row>
    <row r="465" spans="1:14" ht="30" hidden="1" customHeight="1">
      <c r="A465" s="2" t="str">
        <f>表格2[[#This Row],[站名]]&amp;表格2[[#This Row],[城市]]</f>
        <v>關廟臺南市</v>
      </c>
      <c r="B465" s="1" t="s">
        <v>1788</v>
      </c>
      <c r="C465" s="1" t="s">
        <v>1789</v>
      </c>
      <c r="D465" s="1">
        <v>22.963000000000001</v>
      </c>
      <c r="E465" s="1">
        <v>120.3278</v>
      </c>
      <c r="F465" s="1" t="s">
        <v>171</v>
      </c>
      <c r="G465" s="1" t="s">
        <v>2548</v>
      </c>
      <c r="H465" s="1" t="s">
        <v>926</v>
      </c>
      <c r="I465" s="1" t="s">
        <v>1790</v>
      </c>
      <c r="J465" s="1"/>
      <c r="K465" s="2">
        <v>41403</v>
      </c>
      <c r="L465" s="3" t="str">
        <f>_xlfn.XLOOKUP(A:A,Gemini建議!A:A,Gemini建議!B:B,"")</f>
        <v/>
      </c>
      <c r="M465" s="1"/>
      <c r="N465" s="1"/>
    </row>
    <row r="466" spans="1:14" ht="30" hidden="1" customHeight="1">
      <c r="A466" s="2" t="str">
        <f>表格2[[#This Row],[站名]]&amp;表格2[[#This Row],[城市]]</f>
        <v>山上臺南市</v>
      </c>
      <c r="B466" s="1" t="s">
        <v>1791</v>
      </c>
      <c r="C466" s="1" t="s">
        <v>1792</v>
      </c>
      <c r="D466" s="1">
        <v>23.075700000000001</v>
      </c>
      <c r="E466" s="1">
        <v>120.3633</v>
      </c>
      <c r="F466" s="1" t="s">
        <v>405</v>
      </c>
      <c r="G466" s="1" t="s">
        <v>2548</v>
      </c>
      <c r="H466" s="1" t="s">
        <v>926</v>
      </c>
      <c r="I466" s="1" t="s">
        <v>1793</v>
      </c>
      <c r="J466" s="1"/>
      <c r="K466" s="2">
        <v>41348</v>
      </c>
      <c r="L466" s="3" t="str">
        <f>_xlfn.XLOOKUP(A:A,Gemini建議!A:A,Gemini建議!B:B,"")</f>
        <v/>
      </c>
      <c r="M466" s="1"/>
      <c r="N466" s="1"/>
    </row>
    <row r="467" spans="1:14" ht="30" hidden="1" customHeight="1">
      <c r="A467" s="2" t="str">
        <f>表格2[[#This Row],[站名]]&amp;表格2[[#This Row],[城市]]</f>
        <v>安平臺南市</v>
      </c>
      <c r="B467" s="1" t="s">
        <v>1794</v>
      </c>
      <c r="C467" s="1" t="s">
        <v>1795</v>
      </c>
      <c r="D467" s="1">
        <v>22.993200000000002</v>
      </c>
      <c r="E467" s="1">
        <v>120.15219999999999</v>
      </c>
      <c r="F467" s="1" t="s">
        <v>817</v>
      </c>
      <c r="G467" s="1" t="s">
        <v>2548</v>
      </c>
      <c r="H467" s="1" t="s">
        <v>926</v>
      </c>
      <c r="I467" s="1" t="s">
        <v>1796</v>
      </c>
      <c r="J467" s="1"/>
      <c r="K467" s="2">
        <v>41326</v>
      </c>
      <c r="L467" s="3" t="str">
        <f>_xlfn.XLOOKUP(A:A,Gemini建議!A:A,Gemini建議!B:B,"")</f>
        <v/>
      </c>
      <c r="M467" s="1"/>
      <c r="N467" s="1"/>
    </row>
    <row r="468" spans="1:14" ht="30" hidden="1" customHeight="1">
      <c r="A468" s="2" t="str">
        <f>表格2[[#This Row],[站名]]&amp;表格2[[#This Row],[城市]]</f>
        <v>左鎮臺南市</v>
      </c>
      <c r="B468" s="1" t="s">
        <v>1797</v>
      </c>
      <c r="C468" s="1" t="s">
        <v>1798</v>
      </c>
      <c r="D468" s="1">
        <v>23.056799999999999</v>
      </c>
      <c r="E468" s="1">
        <v>120.4085</v>
      </c>
      <c r="F468" s="1" t="s">
        <v>1799</v>
      </c>
      <c r="G468" s="1" t="s">
        <v>2548</v>
      </c>
      <c r="H468" s="1" t="s">
        <v>926</v>
      </c>
      <c r="I468" s="1" t="s">
        <v>1800</v>
      </c>
      <c r="J468" s="1" t="s">
        <v>1801</v>
      </c>
      <c r="K468" s="2">
        <v>41340</v>
      </c>
      <c r="L468" s="3" t="str">
        <f>_xlfn.XLOOKUP(A:A,Gemini建議!A:A,Gemini建議!B:B,"")</f>
        <v/>
      </c>
      <c r="M468" s="1"/>
      <c r="N468" s="1"/>
    </row>
    <row r="469" spans="1:14" ht="30" hidden="1" customHeight="1">
      <c r="A469" s="2" t="str">
        <f>表格2[[#This Row],[站名]]&amp;表格2[[#This Row],[城市]]</f>
        <v>白河臺南市</v>
      </c>
      <c r="B469" s="1" t="s">
        <v>1802</v>
      </c>
      <c r="C469" s="1" t="s">
        <v>1803</v>
      </c>
      <c r="D469" s="1">
        <v>23.3475</v>
      </c>
      <c r="E469" s="1">
        <v>120.4144</v>
      </c>
      <c r="F469" s="1" t="s">
        <v>118</v>
      </c>
      <c r="G469" s="1" t="s">
        <v>2548</v>
      </c>
      <c r="H469" s="1" t="s">
        <v>926</v>
      </c>
      <c r="I469" s="1" t="s">
        <v>1804</v>
      </c>
      <c r="J469" s="1"/>
      <c r="K469" s="2">
        <v>42102</v>
      </c>
      <c r="L469" s="3" t="str">
        <f>_xlfn.XLOOKUP(A:A,Gemini建議!A:A,Gemini建議!B:B,"")</f>
        <v/>
      </c>
      <c r="M469" s="1"/>
      <c r="N469" s="1"/>
    </row>
    <row r="470" spans="1:14" ht="30" hidden="1" customHeight="1">
      <c r="A470" s="2" t="str">
        <f>表格2[[#This Row],[站名]]&amp;表格2[[#This Row],[城市]]</f>
        <v>學甲臺南市</v>
      </c>
      <c r="B470" s="1" t="s">
        <v>1805</v>
      </c>
      <c r="C470" s="1" t="s">
        <v>1806</v>
      </c>
      <c r="D470" s="1">
        <v>23.230399999999999</v>
      </c>
      <c r="E470" s="1">
        <v>120.18219999999999</v>
      </c>
      <c r="F470" s="1" t="s">
        <v>162</v>
      </c>
      <c r="G470" s="1" t="s">
        <v>2548</v>
      </c>
      <c r="H470" s="1" t="s">
        <v>926</v>
      </c>
      <c r="I470" s="1" t="s">
        <v>1807</v>
      </c>
      <c r="J470" s="1"/>
      <c r="K470" s="2">
        <v>42142</v>
      </c>
      <c r="L470" s="3" t="str">
        <f>_xlfn.XLOOKUP(A:A,Gemini建議!A:A,Gemini建議!B:B,"")</f>
        <v/>
      </c>
      <c r="M470" s="1"/>
      <c r="N470" s="1"/>
    </row>
    <row r="471" spans="1:14" ht="30" hidden="1" customHeight="1">
      <c r="A471" s="2" t="str">
        <f>表格2[[#This Row],[站名]]&amp;表格2[[#This Row],[城市]]</f>
        <v>鹽水臺南市</v>
      </c>
      <c r="B471" s="1" t="s">
        <v>1808</v>
      </c>
      <c r="C471" s="1" t="s">
        <v>1809</v>
      </c>
      <c r="D471" s="1">
        <v>23.272600000000001</v>
      </c>
      <c r="E471" s="1">
        <v>120.24760000000001</v>
      </c>
      <c r="F471" s="1" t="s">
        <v>646</v>
      </c>
      <c r="G471" s="1" t="s">
        <v>2548</v>
      </c>
      <c r="H471" s="1" t="s">
        <v>926</v>
      </c>
      <c r="I471" s="1" t="s">
        <v>1810</v>
      </c>
      <c r="J471" s="1"/>
      <c r="K471" s="2">
        <v>42109</v>
      </c>
      <c r="L471" s="3" t="str">
        <f>_xlfn.XLOOKUP(A:A,Gemini建議!A:A,Gemini建議!B:B,"")</f>
        <v/>
      </c>
      <c r="M471" s="1"/>
      <c r="N471" s="1"/>
    </row>
    <row r="472" spans="1:14" ht="30" hidden="1" customHeight="1">
      <c r="A472" s="2" t="str">
        <f>表格2[[#This Row],[站名]]&amp;表格2[[#This Row],[城市]]</f>
        <v>關子嶺臺南市</v>
      </c>
      <c r="B472" s="1" t="s">
        <v>1811</v>
      </c>
      <c r="C472" s="1" t="s">
        <v>1812</v>
      </c>
      <c r="D472" s="1">
        <v>23.331199999999999</v>
      </c>
      <c r="E472" s="1">
        <v>120.508</v>
      </c>
      <c r="F472" s="1" t="s">
        <v>1813</v>
      </c>
      <c r="G472" s="1" t="s">
        <v>2548</v>
      </c>
      <c r="H472" s="1" t="s">
        <v>926</v>
      </c>
      <c r="I472" s="1" t="s">
        <v>1814</v>
      </c>
      <c r="J472" s="1" t="s">
        <v>1815</v>
      </c>
      <c r="K472" s="2">
        <v>42106</v>
      </c>
      <c r="L472" s="3" t="str">
        <f>_xlfn.XLOOKUP(A:A,Gemini建議!A:A,Gemini建議!B:B,"")</f>
        <v/>
      </c>
      <c r="M472" s="1"/>
      <c r="N472" s="1"/>
    </row>
    <row r="473" spans="1:14" ht="30" hidden="1" customHeight="1">
      <c r="A473" s="2" t="str">
        <f>表格2[[#This Row],[站名]]&amp;表格2[[#This Row],[城市]]</f>
        <v>新營臺南市</v>
      </c>
      <c r="B473" s="1" t="s">
        <v>1816</v>
      </c>
      <c r="C473" s="1" t="s">
        <v>1817</v>
      </c>
      <c r="D473" s="1">
        <v>23.310700000000001</v>
      </c>
      <c r="E473" s="1">
        <v>120.3167</v>
      </c>
      <c r="F473" s="1" t="s">
        <v>866</v>
      </c>
      <c r="G473" s="1" t="s">
        <v>2548</v>
      </c>
      <c r="H473" s="1" t="s">
        <v>926</v>
      </c>
      <c r="I473" s="1" t="s">
        <v>1818</v>
      </c>
      <c r="J473" s="1"/>
      <c r="K473" s="2">
        <v>42104</v>
      </c>
      <c r="L473" s="3" t="str">
        <f>_xlfn.XLOOKUP(A:A,Gemini建議!A:A,Gemini建議!B:B,"")</f>
        <v/>
      </c>
      <c r="M473" s="1"/>
      <c r="N473" s="1"/>
    </row>
    <row r="474" spans="1:14" ht="30" hidden="1" customHeight="1">
      <c r="A474" s="2" t="str">
        <f>表格2[[#This Row],[站名]]&amp;表格2[[#This Row],[城市]]</f>
        <v>後壁臺南市</v>
      </c>
      <c r="B474" s="1" t="s">
        <v>1819</v>
      </c>
      <c r="C474" s="1" t="s">
        <v>1820</v>
      </c>
      <c r="D474" s="1">
        <v>23.366399999999999</v>
      </c>
      <c r="E474" s="1">
        <v>120.3623</v>
      </c>
      <c r="F474" s="1" t="s">
        <v>1821</v>
      </c>
      <c r="G474" s="1" t="s">
        <v>2548</v>
      </c>
      <c r="H474" s="1" t="s">
        <v>926</v>
      </c>
      <c r="I474" s="1" t="s">
        <v>1822</v>
      </c>
      <c r="J474" s="1"/>
      <c r="K474" s="2">
        <v>42103</v>
      </c>
      <c r="L474" s="3" t="str">
        <f>_xlfn.XLOOKUP(A:A,Gemini建議!A:A,Gemini建議!B:B,"")</f>
        <v/>
      </c>
      <c r="M474" s="1"/>
      <c r="N474" s="1"/>
    </row>
    <row r="475" spans="1:14" ht="30" hidden="1" customHeight="1">
      <c r="A475" s="2" t="str">
        <f>表格2[[#This Row],[站名]]&amp;表格2[[#This Row],[城市]]</f>
        <v>將軍臺南市</v>
      </c>
      <c r="B475" s="1" t="s">
        <v>1823</v>
      </c>
      <c r="C475" s="1" t="s">
        <v>1824</v>
      </c>
      <c r="D475" s="1">
        <v>23.215</v>
      </c>
      <c r="E475" s="1">
        <v>120.1358</v>
      </c>
      <c r="F475" s="1" t="s">
        <v>175</v>
      </c>
      <c r="G475" s="1" t="s">
        <v>2548</v>
      </c>
      <c r="H475" s="1" t="s">
        <v>926</v>
      </c>
      <c r="I475" s="1" t="s">
        <v>1825</v>
      </c>
      <c r="J475" s="1"/>
      <c r="K475" s="2">
        <v>42109</v>
      </c>
      <c r="L475" s="3" t="str">
        <f>_xlfn.XLOOKUP(A:A,Gemini建議!A:A,Gemini建議!B:B,"")</f>
        <v/>
      </c>
      <c r="M475" s="1"/>
      <c r="N475" s="1"/>
    </row>
    <row r="476" spans="1:14" ht="30" hidden="1" customHeight="1">
      <c r="A476" s="2" t="str">
        <f>表格2[[#This Row],[站名]]&amp;表格2[[#This Row],[城市]]</f>
        <v>北門臺南市</v>
      </c>
      <c r="B476" s="1" t="s">
        <v>1826</v>
      </c>
      <c r="C476" s="1" t="s">
        <v>1827</v>
      </c>
      <c r="D476" s="1">
        <v>23.267800000000001</v>
      </c>
      <c r="E476" s="1">
        <v>120.1255</v>
      </c>
      <c r="F476" s="1" t="s">
        <v>817</v>
      </c>
      <c r="G476" s="1" t="s">
        <v>2548</v>
      </c>
      <c r="H476" s="1" t="s">
        <v>926</v>
      </c>
      <c r="I476" s="1" t="s">
        <v>1828</v>
      </c>
      <c r="J476" s="1"/>
      <c r="K476" s="2">
        <v>42207</v>
      </c>
      <c r="L476" s="3" t="str">
        <f>_xlfn.XLOOKUP(A:A,Gemini建議!A:A,Gemini建議!B:B,"")</f>
        <v/>
      </c>
      <c r="M476" s="1"/>
      <c r="N476" s="1"/>
    </row>
    <row r="477" spans="1:14" ht="30" hidden="1" customHeight="1">
      <c r="A477" s="2" t="str">
        <f>表格2[[#This Row],[站名]]&amp;表格2[[#This Row],[城市]]</f>
        <v>鹿寮臺南市</v>
      </c>
      <c r="B477" s="1" t="s">
        <v>1829</v>
      </c>
      <c r="C477" s="1" t="s">
        <v>1830</v>
      </c>
      <c r="D477" s="1">
        <v>23.385999999999999</v>
      </c>
      <c r="E477" s="1">
        <v>120.4773</v>
      </c>
      <c r="F477" s="1" t="s">
        <v>1831</v>
      </c>
      <c r="G477" s="1" t="s">
        <v>2548</v>
      </c>
      <c r="H477" s="1" t="s">
        <v>926</v>
      </c>
      <c r="I477" s="1" t="s">
        <v>1832</v>
      </c>
      <c r="J477" s="1"/>
      <c r="K477" s="2">
        <v>42305</v>
      </c>
      <c r="L477" s="3" t="str">
        <f>_xlfn.XLOOKUP(A:A,Gemini建議!A:A,Gemini建議!B:B,"")</f>
        <v/>
      </c>
      <c r="M477" s="1"/>
      <c r="N477" s="1"/>
    </row>
    <row r="478" spans="1:14" ht="30" hidden="1" customHeight="1">
      <c r="A478" s="2" t="str">
        <f>表格2[[#This Row],[站名]]&amp;表格2[[#This Row],[城市]]</f>
        <v>柳營臺南市</v>
      </c>
      <c r="B478" s="1" t="s">
        <v>1833</v>
      </c>
      <c r="C478" s="1" t="s">
        <v>1834</v>
      </c>
      <c r="D478" s="1">
        <v>23.253299999999999</v>
      </c>
      <c r="E478" s="1">
        <v>120.3753</v>
      </c>
      <c r="F478" s="1" t="s">
        <v>122</v>
      </c>
      <c r="G478" s="1" t="s">
        <v>2548</v>
      </c>
      <c r="H478" s="1" t="s">
        <v>926</v>
      </c>
      <c r="I478" s="1" t="s">
        <v>1835</v>
      </c>
      <c r="J478" s="1"/>
      <c r="K478" s="2">
        <v>43866</v>
      </c>
      <c r="L478" s="3" t="str">
        <f>_xlfn.XLOOKUP(A:A,Gemini建議!A:A,Gemini建議!B:B,"")</f>
        <v/>
      </c>
      <c r="M478" s="1"/>
      <c r="N478" s="1"/>
    </row>
    <row r="479" spans="1:14" ht="30" hidden="1" customHeight="1">
      <c r="A479" s="2" t="str">
        <f>表格2[[#This Row],[站名]]&amp;表格2[[#This Row],[城市]]</f>
        <v>明里花蓮縣</v>
      </c>
      <c r="B479" s="1" t="s">
        <v>1836</v>
      </c>
      <c r="C479" s="1" t="s">
        <v>1837</v>
      </c>
      <c r="D479" s="1">
        <v>23.2087</v>
      </c>
      <c r="E479" s="1">
        <v>121.2623</v>
      </c>
      <c r="F479" s="1" t="s">
        <v>1838</v>
      </c>
      <c r="G479" s="1" t="s">
        <v>2552</v>
      </c>
      <c r="H479" s="1" t="s">
        <v>1356</v>
      </c>
      <c r="I479" s="1" t="s">
        <v>1839</v>
      </c>
      <c r="J479" s="1" t="s">
        <v>1840</v>
      </c>
      <c r="K479" s="2">
        <v>40360</v>
      </c>
      <c r="L479" s="3" t="str">
        <f>_xlfn.XLOOKUP(A:A,Gemini建議!A:A,Gemini建議!B:B,"")</f>
        <v/>
      </c>
      <c r="M479" s="1"/>
      <c r="N479" s="1"/>
    </row>
    <row r="480" spans="1:14" ht="30" customHeight="1">
      <c r="A480" s="2" t="str">
        <f>表格2[[#This Row],[站名]]&amp;表格2[[#This Row],[城市]]</f>
        <v>佳心花蓮縣</v>
      </c>
      <c r="B480" s="1" t="s">
        <v>1841</v>
      </c>
      <c r="C480" s="1" t="s">
        <v>1842</v>
      </c>
      <c r="D480" s="1">
        <v>23.345700000000001</v>
      </c>
      <c r="E480" s="1">
        <v>121.2132</v>
      </c>
      <c r="F480" s="1" t="s">
        <v>1843</v>
      </c>
      <c r="G480" s="1" t="s">
        <v>2552</v>
      </c>
      <c r="H480" s="1" t="s">
        <v>1356</v>
      </c>
      <c r="I480" s="1" t="s">
        <v>1844</v>
      </c>
      <c r="J480" s="1" t="s">
        <v>1845</v>
      </c>
      <c r="K480" s="2">
        <v>35544</v>
      </c>
      <c r="L480" s="3" t="str">
        <f>_xlfn.XLOOKUP(A:A,Gemini建議!A:A,Gemini建議!B:B,"")</f>
        <v>高海拔測站 (全)</v>
      </c>
      <c r="M480" s="1"/>
      <c r="N480" s="1"/>
    </row>
    <row r="481" spans="1:14" ht="30" customHeight="1">
      <c r="A481" s="2" t="str">
        <f>表格2[[#This Row],[站名]]&amp;表格2[[#This Row],[城市]]</f>
        <v>玉里花蓮縣</v>
      </c>
      <c r="B481" s="1" t="s">
        <v>1846</v>
      </c>
      <c r="C481" s="1" t="s">
        <v>1847</v>
      </c>
      <c r="D481" s="1">
        <v>23.3215</v>
      </c>
      <c r="E481" s="1">
        <v>121.33969999999999</v>
      </c>
      <c r="F481" s="1" t="s">
        <v>1848</v>
      </c>
      <c r="G481" s="1" t="s">
        <v>2552</v>
      </c>
      <c r="H481" s="1" t="s">
        <v>1356</v>
      </c>
      <c r="I481" s="1" t="s">
        <v>1849</v>
      </c>
      <c r="J481" s="1" t="s">
        <v>1850</v>
      </c>
      <c r="K481" s="2">
        <v>39498</v>
      </c>
      <c r="L481" s="3" t="str">
        <f>_xlfn.XLOOKUP(A:A,Gemini建議!A:A,Gemini建議!B:B,"")</f>
        <v>低海拔代表站</v>
      </c>
      <c r="M481" s="1"/>
      <c r="N481" s="1"/>
    </row>
    <row r="482" spans="1:14" ht="30" hidden="1" customHeight="1">
      <c r="A482" s="2" t="str">
        <f>表格2[[#This Row],[站名]]&amp;表格2[[#This Row],[城市]]</f>
        <v>舞鶴花蓮縣</v>
      </c>
      <c r="B482" s="1" t="s">
        <v>1851</v>
      </c>
      <c r="C482" s="1" t="s">
        <v>1852</v>
      </c>
      <c r="D482" s="1">
        <v>23.4681</v>
      </c>
      <c r="E482" s="1">
        <v>121.3741</v>
      </c>
      <c r="F482" s="1" t="s">
        <v>1853</v>
      </c>
      <c r="G482" s="1" t="s">
        <v>2552</v>
      </c>
      <c r="H482" s="1" t="s">
        <v>1356</v>
      </c>
      <c r="I482" s="1" t="s">
        <v>1854</v>
      </c>
      <c r="J482" s="1" t="s">
        <v>1855</v>
      </c>
      <c r="K482" s="2">
        <v>35537</v>
      </c>
      <c r="L482" s="3" t="str">
        <f>_xlfn.XLOOKUP(A:A,Gemini建議!A:A,Gemini建議!B:B,"")</f>
        <v/>
      </c>
      <c r="M482" s="1"/>
      <c r="N482" s="1"/>
    </row>
    <row r="483" spans="1:14" ht="30" hidden="1" customHeight="1">
      <c r="A483" s="2" t="str">
        <f>表格2[[#This Row],[站名]]&amp;表格2[[#This Row],[城市]]</f>
        <v>富源花蓮縣</v>
      </c>
      <c r="B483" s="1" t="s">
        <v>1856</v>
      </c>
      <c r="C483" s="1" t="s">
        <v>1857</v>
      </c>
      <c r="D483" s="1">
        <v>23.587599999999998</v>
      </c>
      <c r="E483" s="1">
        <v>121.37820000000001</v>
      </c>
      <c r="F483" s="1" t="s">
        <v>1858</v>
      </c>
      <c r="G483" s="1" t="s">
        <v>2552</v>
      </c>
      <c r="H483" s="1" t="s">
        <v>1356</v>
      </c>
      <c r="I483" s="1" t="s">
        <v>1859</v>
      </c>
      <c r="J483" s="1" t="s">
        <v>1860</v>
      </c>
      <c r="K483" s="2">
        <v>40840</v>
      </c>
      <c r="L483" s="3" t="str">
        <f>_xlfn.XLOOKUP(A:A,Gemini建議!A:A,Gemini建議!B:B,"")</f>
        <v/>
      </c>
      <c r="M483" s="1"/>
      <c r="N483" s="1"/>
    </row>
    <row r="484" spans="1:14" ht="30" hidden="1" customHeight="1">
      <c r="A484" s="2" t="str">
        <f>表格2[[#This Row],[站名]]&amp;表格2[[#This Row],[城市]]</f>
        <v>東華花蓮縣</v>
      </c>
      <c r="B484" s="1" t="s">
        <v>1861</v>
      </c>
      <c r="C484" s="1" t="s">
        <v>1862</v>
      </c>
      <c r="D484" s="1">
        <v>23.895299999999999</v>
      </c>
      <c r="E484" s="1">
        <v>121.5498</v>
      </c>
      <c r="F484" s="1" t="s">
        <v>1603</v>
      </c>
      <c r="G484" s="1" t="s">
        <v>2552</v>
      </c>
      <c r="H484" s="1" t="s">
        <v>1356</v>
      </c>
      <c r="I484" s="1" t="s">
        <v>1863</v>
      </c>
      <c r="J484" s="1" t="s">
        <v>1864</v>
      </c>
      <c r="K484" s="2">
        <v>41605</v>
      </c>
      <c r="L484" s="3" t="str">
        <f>_xlfn.XLOOKUP(A:A,Gemini建議!A:A,Gemini建議!B:B,"")</f>
        <v/>
      </c>
      <c r="M484" s="1"/>
      <c r="N484" s="1"/>
    </row>
    <row r="485" spans="1:14" ht="30" hidden="1" customHeight="1">
      <c r="A485" s="2" t="str">
        <f>表格2[[#This Row],[站名]]&amp;表格2[[#This Row],[城市]]</f>
        <v>吉安光華花蓮縣</v>
      </c>
      <c r="B485" s="1" t="s">
        <v>1865</v>
      </c>
      <c r="C485" s="1" t="s">
        <v>1866</v>
      </c>
      <c r="D485" s="1">
        <v>23.930900000000001</v>
      </c>
      <c r="E485" s="1">
        <v>121.59520000000001</v>
      </c>
      <c r="F485" s="1" t="s">
        <v>99</v>
      </c>
      <c r="G485" s="1" t="s">
        <v>2552</v>
      </c>
      <c r="H485" s="1" t="s">
        <v>1356</v>
      </c>
      <c r="I485" s="1" t="s">
        <v>1867</v>
      </c>
      <c r="J485" s="1"/>
      <c r="K485" s="2">
        <v>42889</v>
      </c>
      <c r="L485" s="3" t="str">
        <f>_xlfn.XLOOKUP(A:A,Gemini建議!A:A,Gemini建議!B:B,"")</f>
        <v/>
      </c>
      <c r="M485" s="1"/>
      <c r="N485" s="1"/>
    </row>
    <row r="486" spans="1:14" ht="30" hidden="1" customHeight="1">
      <c r="A486" s="2" t="str">
        <f>表格2[[#This Row],[站名]]&amp;表格2[[#This Row],[城市]]</f>
        <v>鳳林花蓮縣</v>
      </c>
      <c r="B486" s="1" t="s">
        <v>1868</v>
      </c>
      <c r="C486" s="1" t="s">
        <v>1869</v>
      </c>
      <c r="D486" s="1">
        <v>23.746099999999998</v>
      </c>
      <c r="E486" s="1">
        <v>121.4534</v>
      </c>
      <c r="F486" s="1" t="s">
        <v>1870</v>
      </c>
      <c r="G486" s="1" t="s">
        <v>2552</v>
      </c>
      <c r="H486" s="1" t="s">
        <v>1356</v>
      </c>
      <c r="I486" s="1" t="s">
        <v>1871</v>
      </c>
      <c r="J486" s="1" t="s">
        <v>1872</v>
      </c>
      <c r="K486" s="2">
        <v>42889</v>
      </c>
      <c r="L486" s="3" t="str">
        <f>_xlfn.XLOOKUP(A:A,Gemini建議!A:A,Gemini建議!B:B,"")</f>
        <v/>
      </c>
      <c r="M486" s="1"/>
      <c r="N486" s="1"/>
    </row>
    <row r="487" spans="1:14" ht="30" hidden="1" customHeight="1">
      <c r="A487" s="2" t="str">
        <f>表格2[[#This Row],[站名]]&amp;表格2[[#This Row],[城市]]</f>
        <v>卓溪花蓮縣</v>
      </c>
      <c r="B487" s="1" t="s">
        <v>1873</v>
      </c>
      <c r="C487" s="1" t="s">
        <v>1874</v>
      </c>
      <c r="D487" s="1">
        <v>23.3443</v>
      </c>
      <c r="E487" s="1">
        <v>121.30289999999999</v>
      </c>
      <c r="F487" s="1" t="s">
        <v>489</v>
      </c>
      <c r="G487" s="1" t="s">
        <v>2552</v>
      </c>
      <c r="H487" s="1" t="s">
        <v>1356</v>
      </c>
      <c r="I487" s="1" t="s">
        <v>1875</v>
      </c>
      <c r="J487" s="1" t="s">
        <v>1876</v>
      </c>
      <c r="K487" s="2">
        <v>44887</v>
      </c>
      <c r="L487" s="3" t="str">
        <f>_xlfn.XLOOKUP(A:A,Gemini建議!A:A,Gemini建議!B:B,"")</f>
        <v/>
      </c>
      <c r="M487" s="1"/>
      <c r="N487" s="1"/>
    </row>
    <row r="488" spans="1:14" ht="30" hidden="1" customHeight="1">
      <c r="A488" s="2" t="str">
        <f>表格2[[#This Row],[站名]]&amp;表格2[[#This Row],[城市]]</f>
        <v>新城花蓮縣</v>
      </c>
      <c r="B488" s="1" t="s">
        <v>1877</v>
      </c>
      <c r="C488" s="1" t="s">
        <v>1878</v>
      </c>
      <c r="D488" s="1">
        <v>24.040500000000002</v>
      </c>
      <c r="E488" s="1">
        <v>121.6049</v>
      </c>
      <c r="F488" s="1" t="s">
        <v>426</v>
      </c>
      <c r="G488" s="1" t="s">
        <v>2552</v>
      </c>
      <c r="H488" s="1" t="s">
        <v>1356</v>
      </c>
      <c r="I488" s="1" t="s">
        <v>1879</v>
      </c>
      <c r="J488" s="1" t="s">
        <v>1880</v>
      </c>
      <c r="K488" s="2">
        <v>43070</v>
      </c>
      <c r="L488" s="3" t="str">
        <f>_xlfn.XLOOKUP(A:A,Gemini建議!A:A,Gemini建議!B:B,"")</f>
        <v/>
      </c>
      <c r="M488" s="1"/>
      <c r="N488" s="1"/>
    </row>
    <row r="489" spans="1:14" ht="30" hidden="1" customHeight="1">
      <c r="A489" s="2" t="str">
        <f>表格2[[#This Row],[站名]]&amp;表格2[[#This Row],[城市]]</f>
        <v>富世花蓮縣</v>
      </c>
      <c r="B489" s="1" t="s">
        <v>1881</v>
      </c>
      <c r="C489" s="1" t="s">
        <v>1882</v>
      </c>
      <c r="D489" s="1">
        <v>24.147400000000001</v>
      </c>
      <c r="E489" s="1">
        <v>121.6297</v>
      </c>
      <c r="F489" s="1" t="s">
        <v>405</v>
      </c>
      <c r="G489" s="1" t="s">
        <v>2552</v>
      </c>
      <c r="H489" s="1" t="s">
        <v>1356</v>
      </c>
      <c r="I489" s="1" t="s">
        <v>1883</v>
      </c>
      <c r="J489" s="1" t="s">
        <v>1884</v>
      </c>
      <c r="K489" s="2">
        <v>43070</v>
      </c>
      <c r="L489" s="3" t="str">
        <f>_xlfn.XLOOKUP(A:A,Gemini建議!A:A,Gemini建議!B:B,"")</f>
        <v/>
      </c>
      <c r="M489" s="1"/>
      <c r="N489" s="1"/>
    </row>
    <row r="490" spans="1:14" ht="30" hidden="1" customHeight="1">
      <c r="A490" s="2" t="str">
        <f>表格2[[#This Row],[站名]]&amp;表格2[[#This Row],[城市]]</f>
        <v>萬榮花蓮縣</v>
      </c>
      <c r="B490" s="1" t="s">
        <v>1885</v>
      </c>
      <c r="C490" s="1" t="s">
        <v>1886</v>
      </c>
      <c r="D490" s="1">
        <v>23.709199999999999</v>
      </c>
      <c r="E490" s="1">
        <v>121.42010000000001</v>
      </c>
      <c r="F490" s="1" t="s">
        <v>1887</v>
      </c>
      <c r="G490" s="1" t="s">
        <v>2552</v>
      </c>
      <c r="H490" s="1" t="s">
        <v>1356</v>
      </c>
      <c r="I490" s="1" t="s">
        <v>1888</v>
      </c>
      <c r="J490" s="1"/>
      <c r="K490" s="2">
        <v>42889</v>
      </c>
      <c r="L490" s="3" t="str">
        <f>_xlfn.XLOOKUP(A:A,Gemini建議!A:A,Gemini建議!B:B,"")</f>
        <v/>
      </c>
      <c r="M490" s="1"/>
      <c r="N490" s="1"/>
    </row>
    <row r="491" spans="1:14" ht="30" hidden="1" customHeight="1">
      <c r="A491" s="2" t="str">
        <f>表格2[[#This Row],[站名]]&amp;表格2[[#This Row],[城市]]</f>
        <v>瑞穗花蓮縣</v>
      </c>
      <c r="B491" s="1" t="s">
        <v>1889</v>
      </c>
      <c r="C491" s="1" t="s">
        <v>1890</v>
      </c>
      <c r="D491" s="1">
        <v>23.523900000000001</v>
      </c>
      <c r="E491" s="1">
        <v>121.39019999999999</v>
      </c>
      <c r="F491" s="1" t="s">
        <v>1891</v>
      </c>
      <c r="G491" s="1" t="s">
        <v>2552</v>
      </c>
      <c r="H491" s="1" t="s">
        <v>1356</v>
      </c>
      <c r="I491" s="1" t="s">
        <v>1892</v>
      </c>
      <c r="J491" s="1"/>
      <c r="K491" s="2">
        <v>43070</v>
      </c>
      <c r="L491" s="3" t="str">
        <f>_xlfn.XLOOKUP(A:A,Gemini建議!A:A,Gemini建議!B:B,"")</f>
        <v/>
      </c>
      <c r="M491" s="1"/>
      <c r="N491" s="1"/>
    </row>
    <row r="492" spans="1:14" ht="30" customHeight="1">
      <c r="A492" s="2" t="str">
        <f>表格2[[#This Row],[站名]]&amp;表格2[[#This Row],[城市]]</f>
        <v>和平林道花蓮縣</v>
      </c>
      <c r="B492" s="1" t="s">
        <v>1893</v>
      </c>
      <c r="C492" s="1" t="s">
        <v>1894</v>
      </c>
      <c r="D492" s="1">
        <v>24.343900000000001</v>
      </c>
      <c r="E492" s="1">
        <v>121.6563</v>
      </c>
      <c r="F492" s="1" t="s">
        <v>1895</v>
      </c>
      <c r="G492" s="1" t="s">
        <v>2552</v>
      </c>
      <c r="H492" s="1" t="s">
        <v>1356</v>
      </c>
      <c r="I492" s="1" t="s">
        <v>1896</v>
      </c>
      <c r="J492" s="1"/>
      <c r="K492" s="2">
        <v>43182</v>
      </c>
      <c r="L492" s="3" t="str">
        <f>_xlfn.XLOOKUP(A:A,Gemini建議!A:A,Gemini建議!B:B,"")</f>
        <v>高海拔測站 (全)</v>
      </c>
      <c r="M492" s="1"/>
      <c r="N492" s="1"/>
    </row>
    <row r="493" spans="1:14" ht="30" hidden="1" customHeight="1">
      <c r="A493" s="2" t="str">
        <f>表格2[[#This Row],[站名]]&amp;表格2[[#This Row],[城市]]</f>
        <v>和平花蓮縣</v>
      </c>
      <c r="B493" s="1" t="s">
        <v>1897</v>
      </c>
      <c r="C493" s="1" t="s">
        <v>1898</v>
      </c>
      <c r="D493" s="1">
        <v>24.307200000000002</v>
      </c>
      <c r="E493" s="1">
        <v>121.7701</v>
      </c>
      <c r="F493" s="1" t="s">
        <v>386</v>
      </c>
      <c r="G493" s="1" t="s">
        <v>2552</v>
      </c>
      <c r="H493" s="1" t="s">
        <v>1356</v>
      </c>
      <c r="I493" s="1" t="s">
        <v>1899</v>
      </c>
      <c r="J493" s="1"/>
      <c r="K493" s="2">
        <v>43070</v>
      </c>
      <c r="L493" s="3" t="str">
        <f>_xlfn.XLOOKUP(A:A,Gemini建議!A:A,Gemini建議!B:B,"")</f>
        <v/>
      </c>
      <c r="M493" s="1"/>
      <c r="N493" s="1"/>
    </row>
    <row r="494" spans="1:14" ht="30" customHeight="1">
      <c r="A494" s="2" t="str">
        <f>表格2[[#This Row],[站名]]&amp;表格2[[#This Row],[城市]]</f>
        <v>瑞穗林道花蓮縣</v>
      </c>
      <c r="B494" s="1" t="s">
        <v>1900</v>
      </c>
      <c r="C494" s="1" t="s">
        <v>1901</v>
      </c>
      <c r="D494" s="1">
        <v>23.492799999999999</v>
      </c>
      <c r="E494" s="1">
        <v>121.3069</v>
      </c>
      <c r="F494" s="1" t="s">
        <v>1902</v>
      </c>
      <c r="G494" s="1" t="s">
        <v>2552</v>
      </c>
      <c r="H494" s="1" t="s">
        <v>1356</v>
      </c>
      <c r="I494" s="1" t="s">
        <v>1903</v>
      </c>
      <c r="J494" s="1"/>
      <c r="K494" s="2">
        <v>43070</v>
      </c>
      <c r="L494" s="3" t="str">
        <f>_xlfn.XLOOKUP(A:A,Gemini建議!A:A,Gemini建議!B:B,"")</f>
        <v>高海拔測站 (全)</v>
      </c>
      <c r="M494" s="1"/>
      <c r="N494" s="1"/>
    </row>
    <row r="495" spans="1:14" ht="30" hidden="1" customHeight="1">
      <c r="A495" s="2" t="str">
        <f>表格2[[#This Row],[站名]]&amp;表格2[[#This Row],[城市]]</f>
        <v>蕃薯寮花蓮縣</v>
      </c>
      <c r="B495" s="1" t="s">
        <v>1904</v>
      </c>
      <c r="C495" s="1" t="s">
        <v>1905</v>
      </c>
      <c r="D495" s="1">
        <v>23.738399999999999</v>
      </c>
      <c r="E495" s="1">
        <v>121.5401</v>
      </c>
      <c r="F495" s="1" t="s">
        <v>1906</v>
      </c>
      <c r="G495" s="1" t="s">
        <v>2552</v>
      </c>
      <c r="H495" s="1" t="s">
        <v>1356</v>
      </c>
      <c r="I495" s="1" t="s">
        <v>1907</v>
      </c>
      <c r="J495" s="1"/>
      <c r="K495" s="2">
        <v>42889</v>
      </c>
      <c r="L495" s="3" t="str">
        <f>_xlfn.XLOOKUP(A:A,Gemini建議!A:A,Gemini建議!B:B,"")</f>
        <v/>
      </c>
      <c r="M495" s="1"/>
      <c r="N495" s="1"/>
    </row>
    <row r="496" spans="1:14" ht="30" hidden="1" customHeight="1">
      <c r="A496" s="2" t="str">
        <f>表格2[[#This Row],[站名]]&amp;表格2[[#This Row],[城市]]</f>
        <v>德武花蓮縣</v>
      </c>
      <c r="B496" s="1" t="s">
        <v>1908</v>
      </c>
      <c r="C496" s="1" t="s">
        <v>1909</v>
      </c>
      <c r="D496" s="1">
        <v>23.474299999999999</v>
      </c>
      <c r="E496" s="1">
        <v>121.41070000000001</v>
      </c>
      <c r="F496" s="1" t="s">
        <v>1910</v>
      </c>
      <c r="G496" s="1" t="s">
        <v>2552</v>
      </c>
      <c r="H496" s="1" t="s">
        <v>1356</v>
      </c>
      <c r="I496" s="1" t="s">
        <v>1911</v>
      </c>
      <c r="J496" s="1"/>
      <c r="K496" s="2">
        <v>43070</v>
      </c>
      <c r="L496" s="3" t="str">
        <f>_xlfn.XLOOKUP(A:A,Gemini建議!A:A,Gemini建議!B:B,"")</f>
        <v/>
      </c>
      <c r="M496" s="1"/>
      <c r="N496" s="1"/>
    </row>
    <row r="497" spans="1:14" ht="30" customHeight="1">
      <c r="A497" s="2" t="str">
        <f>表格2[[#This Row],[站名]]&amp;表格2[[#This Row],[城市]]</f>
        <v>赤柯山花蓮縣</v>
      </c>
      <c r="B497" s="1" t="s">
        <v>1912</v>
      </c>
      <c r="C497" s="1" t="s">
        <v>1913</v>
      </c>
      <c r="D497" s="1">
        <v>23.3689</v>
      </c>
      <c r="E497" s="1">
        <v>121.38290000000001</v>
      </c>
      <c r="F497" s="1" t="s">
        <v>1914</v>
      </c>
      <c r="G497" s="1" t="s">
        <v>2552</v>
      </c>
      <c r="H497" s="1" t="s">
        <v>1356</v>
      </c>
      <c r="I497" s="1" t="s">
        <v>1915</v>
      </c>
      <c r="J497" s="1"/>
      <c r="K497" s="2">
        <v>43070</v>
      </c>
      <c r="L497" s="3" t="str">
        <f>_xlfn.XLOOKUP(A:A,Gemini建議!A:A,Gemini建議!B:B,"")</f>
        <v>高海拔測站 (全)</v>
      </c>
      <c r="M497" s="1"/>
      <c r="N497" s="1"/>
    </row>
    <row r="498" spans="1:14" ht="30" hidden="1" customHeight="1">
      <c r="A498" s="2" t="str">
        <f>表格2[[#This Row],[站名]]&amp;表格2[[#This Row],[城市]]</f>
        <v>東里花蓮縣</v>
      </c>
      <c r="B498" s="1" t="s">
        <v>1916</v>
      </c>
      <c r="C498" s="1" t="s">
        <v>1917</v>
      </c>
      <c r="D498" s="1">
        <v>23.2685</v>
      </c>
      <c r="E498" s="1">
        <v>121.30549999999999</v>
      </c>
      <c r="F498" s="1" t="s">
        <v>1918</v>
      </c>
      <c r="G498" s="1" t="s">
        <v>2552</v>
      </c>
      <c r="H498" s="1" t="s">
        <v>1356</v>
      </c>
      <c r="I498" s="1" t="s">
        <v>1919</v>
      </c>
      <c r="J498" s="1"/>
      <c r="K498" s="2">
        <v>43070</v>
      </c>
      <c r="L498" s="3" t="str">
        <f>_xlfn.XLOOKUP(A:A,Gemini建議!A:A,Gemini建議!B:B,"")</f>
        <v/>
      </c>
      <c r="M498" s="1"/>
      <c r="N498" s="1"/>
    </row>
    <row r="499" spans="1:14" ht="30" hidden="1" customHeight="1">
      <c r="A499" s="2" t="str">
        <f>表格2[[#This Row],[站名]]&amp;表格2[[#This Row],[城市]]</f>
        <v>清水斷崖花蓮縣</v>
      </c>
      <c r="B499" s="1" t="s">
        <v>1920</v>
      </c>
      <c r="C499" s="1" t="s">
        <v>1921</v>
      </c>
      <c r="D499" s="1">
        <v>24.218299999999999</v>
      </c>
      <c r="E499" s="1">
        <v>121.6891</v>
      </c>
      <c r="F499" s="1" t="s">
        <v>1922</v>
      </c>
      <c r="G499" s="1" t="s">
        <v>2552</v>
      </c>
      <c r="H499" s="1" t="s">
        <v>1356</v>
      </c>
      <c r="I499" s="1" t="s">
        <v>1923</v>
      </c>
      <c r="J499" s="1"/>
      <c r="K499" s="2">
        <v>43182</v>
      </c>
      <c r="L499" s="3" t="str">
        <f>_xlfn.XLOOKUP(A:A,Gemini建議!A:A,Gemini建議!B:B,"")</f>
        <v/>
      </c>
      <c r="M499" s="1"/>
      <c r="N499" s="1"/>
    </row>
    <row r="500" spans="1:14" ht="30" customHeight="1">
      <c r="A500" s="2" t="str">
        <f>表格2[[#This Row],[站名]]&amp;表格2[[#This Row],[城市]]</f>
        <v>清水林道花蓮縣</v>
      </c>
      <c r="B500" s="1" t="s">
        <v>1924</v>
      </c>
      <c r="C500" s="1" t="s">
        <v>1925</v>
      </c>
      <c r="D500" s="1">
        <v>23.2712</v>
      </c>
      <c r="E500" s="1">
        <v>121.1883</v>
      </c>
      <c r="F500" s="1" t="s">
        <v>1926</v>
      </c>
      <c r="G500" s="1" t="s">
        <v>2552</v>
      </c>
      <c r="H500" s="1" t="s">
        <v>1356</v>
      </c>
      <c r="I500" s="1" t="s">
        <v>1927</v>
      </c>
      <c r="J500" s="1"/>
      <c r="K500" s="2">
        <v>43229</v>
      </c>
      <c r="L500" s="3" t="str">
        <f>_xlfn.XLOOKUP(A:A,Gemini建議!A:A,Gemini建議!B:B,"")</f>
        <v>高海拔測站 (全)</v>
      </c>
      <c r="M500" s="1"/>
      <c r="N500" s="1"/>
    </row>
    <row r="501" spans="1:14" ht="30" hidden="1" customHeight="1">
      <c r="A501" s="2" t="str">
        <f>表格2[[#This Row],[站名]]&amp;表格2[[#This Row],[城市]]</f>
        <v>安通山花蓮縣</v>
      </c>
      <c r="B501" s="1" t="s">
        <v>1928</v>
      </c>
      <c r="C501" s="1" t="s">
        <v>1929</v>
      </c>
      <c r="D501" s="1">
        <v>23.290700000000001</v>
      </c>
      <c r="E501" s="1">
        <v>121.3485</v>
      </c>
      <c r="F501" s="1" t="s">
        <v>1930</v>
      </c>
      <c r="G501" s="1" t="s">
        <v>2552</v>
      </c>
      <c r="H501" s="1" t="s">
        <v>1356</v>
      </c>
      <c r="I501" s="1" t="s">
        <v>1931</v>
      </c>
      <c r="J501" s="1"/>
      <c r="K501" s="2">
        <v>43229</v>
      </c>
      <c r="L501" s="3" t="str">
        <f>_xlfn.XLOOKUP(A:A,Gemini建議!A:A,Gemini建議!B:B,"")</f>
        <v/>
      </c>
      <c r="M501" s="1"/>
      <c r="N501" s="1"/>
    </row>
    <row r="502" spans="1:14" ht="30" hidden="1" customHeight="1">
      <c r="A502" s="2" t="str">
        <f>表格2[[#This Row],[站名]]&amp;表格2[[#This Row],[城市]]</f>
        <v>東引連江縣</v>
      </c>
      <c r="B502" s="1" t="s">
        <v>1932</v>
      </c>
      <c r="C502" s="1" t="s">
        <v>1933</v>
      </c>
      <c r="D502" s="1">
        <v>26.358799999999999</v>
      </c>
      <c r="E502" s="1">
        <v>120.4836</v>
      </c>
      <c r="F502" s="1" t="s">
        <v>667</v>
      </c>
      <c r="G502" s="1" t="s">
        <v>2556</v>
      </c>
      <c r="H502" s="1" t="s">
        <v>1725</v>
      </c>
      <c r="I502" s="1" t="s">
        <v>1934</v>
      </c>
      <c r="J502" s="1"/>
      <c r="K502" s="2">
        <v>44610</v>
      </c>
      <c r="L502" s="3" t="str">
        <f>_xlfn.XLOOKUP(A:A,Gemini建議!A:A,Gemini建議!B:B,"")</f>
        <v/>
      </c>
      <c r="M502" s="1"/>
      <c r="N502" s="1"/>
    </row>
    <row r="503" spans="1:14" ht="30" hidden="1" customHeight="1">
      <c r="A503" s="2" t="str">
        <f>表格2[[#This Row],[站名]]&amp;表格2[[#This Row],[城市]]</f>
        <v>南化 (撤銷站)臺南市</v>
      </c>
      <c r="B503" s="1" t="s">
        <v>1935</v>
      </c>
      <c r="C503" s="1" t="s">
        <v>1936</v>
      </c>
      <c r="D503" s="1">
        <v>23.0427</v>
      </c>
      <c r="E503" s="1">
        <v>120.48860000000001</v>
      </c>
      <c r="F503" s="1" t="s">
        <v>1937</v>
      </c>
      <c r="G503" s="1" t="s">
        <v>2548</v>
      </c>
      <c r="H503" s="1" t="s">
        <v>926</v>
      </c>
      <c r="I503" s="1" t="s">
        <v>1938</v>
      </c>
      <c r="J503" s="1"/>
      <c r="K503" s="2">
        <v>33725</v>
      </c>
      <c r="L503" s="3" t="str">
        <f>_xlfn.XLOOKUP(A:A,Gemini建議!A:A,Gemini建議!B:B,"")</f>
        <v/>
      </c>
      <c r="M503" s="1"/>
      <c r="N503" s="1"/>
    </row>
    <row r="504" spans="1:14" ht="30" hidden="1" customHeight="1">
      <c r="A504" s="2" t="str">
        <f>表格2[[#This Row],[站名]]&amp;表格2[[#This Row],[城市]]</f>
        <v>中興新村 (撤銷站)南投縣</v>
      </c>
      <c r="B504" s="1" t="s">
        <v>1939</v>
      </c>
      <c r="C504" s="1" t="s">
        <v>1940</v>
      </c>
      <c r="D504" s="1">
        <v>23.936299999999999</v>
      </c>
      <c r="E504" s="1">
        <v>120.99509999999999</v>
      </c>
      <c r="F504" s="1" t="s">
        <v>228</v>
      </c>
      <c r="G504" s="1" t="s">
        <v>2544</v>
      </c>
      <c r="H504" s="1" t="s">
        <v>690</v>
      </c>
      <c r="I504" s="1" t="s">
        <v>1941</v>
      </c>
      <c r="J504" s="1"/>
      <c r="K504" s="2">
        <v>33626</v>
      </c>
      <c r="L504" s="3" t="str">
        <f>_xlfn.XLOOKUP(A:A,Gemini建議!A:A,Gemini建議!B:B,"")</f>
        <v/>
      </c>
      <c r="M504" s="1"/>
      <c r="N504" s="1"/>
    </row>
    <row r="505" spans="1:14" ht="30" hidden="1" customHeight="1">
      <c r="A505" s="2" t="str">
        <f>表格2[[#This Row],[站名]]&amp;表格2[[#This Row],[城市]]</f>
        <v>牡丹 (撤銷站)屏東縣</v>
      </c>
      <c r="B505" s="1" t="s">
        <v>1942</v>
      </c>
      <c r="C505" s="1" t="s">
        <v>1943</v>
      </c>
      <c r="D505" s="1">
        <v>22.192399999999999</v>
      </c>
      <c r="E505" s="1">
        <v>120.8378</v>
      </c>
      <c r="F505" s="1" t="s">
        <v>1944</v>
      </c>
      <c r="G505" s="1" t="s">
        <v>2550</v>
      </c>
      <c r="H505" s="1" t="s">
        <v>980</v>
      </c>
      <c r="I505" s="1" t="s">
        <v>1945</v>
      </c>
      <c r="J505" s="1" t="s">
        <v>1946</v>
      </c>
      <c r="K505" s="2">
        <v>35558</v>
      </c>
      <c r="L505" s="3" t="str">
        <f>_xlfn.XLOOKUP(A:A,Gemini建議!A:A,Gemini建議!B:B,"")</f>
        <v/>
      </c>
      <c r="M505" s="1"/>
      <c r="N505" s="1"/>
    </row>
    <row r="506" spans="1:14" ht="30" hidden="1" customHeight="1">
      <c r="A506" s="2" t="str">
        <f>表格2[[#This Row],[站名]]&amp;表格2[[#This Row],[城市]]</f>
        <v>梨山 (撤銷站)臺中市</v>
      </c>
      <c r="B506" s="1" t="s">
        <v>1947</v>
      </c>
      <c r="C506" s="1" t="s">
        <v>1948</v>
      </c>
      <c r="D506" s="1">
        <v>24.255199999999999</v>
      </c>
      <c r="E506" s="1">
        <v>121.2593</v>
      </c>
      <c r="F506" s="1" t="s">
        <v>1949</v>
      </c>
      <c r="G506" s="1" t="s">
        <v>2542</v>
      </c>
      <c r="H506" s="1" t="s">
        <v>459</v>
      </c>
      <c r="I506" s="1" t="s">
        <v>1950</v>
      </c>
      <c r="J506" s="1"/>
      <c r="K506" s="2">
        <v>33055</v>
      </c>
      <c r="L506" s="3" t="str">
        <f>_xlfn.XLOOKUP(A:A,Gemini建議!A:A,Gemini建議!B:B,"")</f>
        <v/>
      </c>
      <c r="M506" s="1"/>
      <c r="N506" s="1"/>
    </row>
    <row r="507" spans="1:14" ht="30" hidden="1" customHeight="1">
      <c r="A507" s="2" t="str">
        <f>表格2[[#This Row],[站名]]&amp;表格2[[#This Row],[城市]]</f>
        <v>竹東 (撤銷站)新竹縣</v>
      </c>
      <c r="B507" s="1" t="s">
        <v>1951</v>
      </c>
      <c r="C507" s="1" t="s">
        <v>1952</v>
      </c>
      <c r="D507" s="1">
        <v>24.767099999999999</v>
      </c>
      <c r="E507" s="1">
        <v>121.0579</v>
      </c>
      <c r="F507" s="1" t="s">
        <v>1953</v>
      </c>
      <c r="G507" s="1" t="s">
        <v>2540</v>
      </c>
      <c r="H507" s="1" t="s">
        <v>307</v>
      </c>
      <c r="I507" s="1" t="s">
        <v>1954</v>
      </c>
      <c r="J507" s="1"/>
      <c r="K507" s="2">
        <v>33055</v>
      </c>
      <c r="L507" s="3" t="str">
        <f>_xlfn.XLOOKUP(A:A,Gemini建議!A:A,Gemini建議!B:B,"")</f>
        <v/>
      </c>
      <c r="M507" s="1"/>
      <c r="N507" s="1"/>
    </row>
    <row r="508" spans="1:14" ht="30" hidden="1" customHeight="1">
      <c r="A508" s="2" t="str">
        <f>表格2[[#This Row],[站名]]&amp;表格2[[#This Row],[城市]]</f>
        <v>觀霧 (撤銷站)新竹縣</v>
      </c>
      <c r="B508" s="1" t="s">
        <v>1955</v>
      </c>
      <c r="C508" s="1" t="s">
        <v>1956</v>
      </c>
      <c r="D508" s="1">
        <v>24.506</v>
      </c>
      <c r="E508" s="1">
        <v>121.11320000000001</v>
      </c>
      <c r="F508" s="1" t="s">
        <v>1957</v>
      </c>
      <c r="G508" s="1" t="s">
        <v>2540</v>
      </c>
      <c r="H508" s="1" t="s">
        <v>307</v>
      </c>
      <c r="I508" s="1" t="s">
        <v>1958</v>
      </c>
      <c r="J508" s="1"/>
      <c r="K508" s="2">
        <v>31898</v>
      </c>
      <c r="L508" s="3" t="str">
        <f>_xlfn.XLOOKUP(A:A,Gemini建議!A:A,Gemini建議!B:B,"")</f>
        <v/>
      </c>
      <c r="M508" s="1"/>
      <c r="N508" s="1"/>
    </row>
    <row r="509" spans="1:14" ht="30" hidden="1" customHeight="1">
      <c r="A509" s="2" t="str">
        <f>表格2[[#This Row],[站名]]&amp;表格2[[#This Row],[城市]]</f>
        <v>玉里 (撤銷站)花蓮縣</v>
      </c>
      <c r="B509" s="1" t="s">
        <v>1959</v>
      </c>
      <c r="C509" s="1" t="s">
        <v>1960</v>
      </c>
      <c r="D509" s="1">
        <v>23.3446</v>
      </c>
      <c r="E509" s="1">
        <v>121.31780000000001</v>
      </c>
      <c r="F509" s="1" t="s">
        <v>1961</v>
      </c>
      <c r="G509" s="1" t="s">
        <v>2552</v>
      </c>
      <c r="H509" s="1" t="s">
        <v>1356</v>
      </c>
      <c r="I509" s="1" t="s">
        <v>1962</v>
      </c>
      <c r="J509" s="1" t="s">
        <v>1963</v>
      </c>
      <c r="K509" s="2">
        <v>35570</v>
      </c>
      <c r="L509" s="3" t="str">
        <f>_xlfn.XLOOKUP(A:A,Gemini建議!A:A,Gemini建議!B:B,"")</f>
        <v/>
      </c>
      <c r="M509" s="1"/>
      <c r="N509" s="1"/>
    </row>
    <row r="510" spans="1:14" ht="30" hidden="1" customHeight="1">
      <c r="A510" s="2" t="str">
        <f>表格2[[#This Row],[站名]]&amp;表格2[[#This Row],[城市]]</f>
        <v>新豐 (撤銷站)新竹縣</v>
      </c>
      <c r="B510" s="1" t="s">
        <v>1964</v>
      </c>
      <c r="C510" s="1" t="s">
        <v>1965</v>
      </c>
      <c r="D510" s="1">
        <v>24.8688</v>
      </c>
      <c r="E510" s="1">
        <v>120.9854</v>
      </c>
      <c r="F510" s="1" t="s">
        <v>281</v>
      </c>
      <c r="G510" s="1" t="s">
        <v>2540</v>
      </c>
      <c r="H510" s="1" t="s">
        <v>307</v>
      </c>
      <c r="I510" s="1" t="s">
        <v>1966</v>
      </c>
      <c r="J510" s="1" t="s">
        <v>339</v>
      </c>
      <c r="K510" s="2">
        <v>39213</v>
      </c>
      <c r="L510" s="3" t="str">
        <f>_xlfn.XLOOKUP(A:A,Gemini建議!A:A,Gemini建議!B:B,"")</f>
        <v/>
      </c>
      <c r="M510" s="1"/>
      <c r="N510" s="1"/>
    </row>
    <row r="511" spans="1:14" ht="30" hidden="1" customHeight="1">
      <c r="A511" s="2" t="str">
        <f>表格2[[#This Row],[站名]]&amp;表格2[[#This Row],[城市]]</f>
        <v>合歡山 (撤銷站)南投縣</v>
      </c>
      <c r="B511" s="1" t="s">
        <v>1967</v>
      </c>
      <c r="C511" s="1" t="s">
        <v>1968</v>
      </c>
      <c r="D511" s="1">
        <v>24.1435</v>
      </c>
      <c r="E511" s="1">
        <v>121.2726</v>
      </c>
      <c r="F511" s="1" t="s">
        <v>1969</v>
      </c>
      <c r="G511" s="1" t="s">
        <v>2544</v>
      </c>
      <c r="H511" s="1" t="s">
        <v>690</v>
      </c>
      <c r="I511" s="1" t="s">
        <v>710</v>
      </c>
      <c r="J511" s="1" t="s">
        <v>711</v>
      </c>
      <c r="K511" s="2">
        <v>33055</v>
      </c>
      <c r="L511" s="3" t="str">
        <f>_xlfn.XLOOKUP(A:A,Gemini建議!A:A,Gemini建議!B:B,"")</f>
        <v/>
      </c>
      <c r="M511" s="1"/>
      <c r="N511" s="1"/>
    </row>
    <row r="512" spans="1:14" ht="30" hidden="1" customHeight="1">
      <c r="A512" s="2" t="str">
        <f>表格2[[#This Row],[站名]]&amp;表格2[[#This Row],[城市]]</f>
        <v>靜浦 (撤銷站)花蓮縣</v>
      </c>
      <c r="B512" s="1" t="s">
        <v>1970</v>
      </c>
      <c r="C512" s="1" t="s">
        <v>1971</v>
      </c>
      <c r="D512" s="1">
        <v>23.455100000000002</v>
      </c>
      <c r="E512" s="1">
        <v>121.4948</v>
      </c>
      <c r="F512" s="1" t="s">
        <v>657</v>
      </c>
      <c r="G512" s="1" t="s">
        <v>2552</v>
      </c>
      <c r="H512" s="1" t="s">
        <v>1356</v>
      </c>
      <c r="I512" s="1" t="s">
        <v>1415</v>
      </c>
      <c r="J512" s="1" t="s">
        <v>1972</v>
      </c>
      <c r="K512" s="2">
        <v>35550</v>
      </c>
      <c r="L512" s="3" t="str">
        <f>_xlfn.XLOOKUP(A:A,Gemini建議!A:A,Gemini建議!B:B,"")</f>
        <v/>
      </c>
      <c r="M512" s="1"/>
      <c r="N512" s="1"/>
    </row>
    <row r="513" spans="1:14" ht="30" hidden="1" customHeight="1">
      <c r="A513" s="2" t="str">
        <f>表格2[[#This Row],[站名]]&amp;表格2[[#This Row],[城市]]</f>
        <v>信義 (撤銷站)臺北市</v>
      </c>
      <c r="B513" s="1" t="s">
        <v>1973</v>
      </c>
      <c r="C513" s="1" t="s">
        <v>1974</v>
      </c>
      <c r="D513" s="1">
        <v>25.0381</v>
      </c>
      <c r="E513" s="1">
        <v>121.5646</v>
      </c>
      <c r="F513" s="1" t="s">
        <v>1014</v>
      </c>
      <c r="G513" s="1" t="s">
        <v>2536</v>
      </c>
      <c r="H513" s="1" t="s">
        <v>34</v>
      </c>
      <c r="I513" s="1" t="s">
        <v>1975</v>
      </c>
      <c r="J513" s="1"/>
      <c r="K513" s="2">
        <v>35663</v>
      </c>
      <c r="L513" s="3" t="str">
        <f>_xlfn.XLOOKUP(A:A,Gemini建議!A:A,Gemini建議!B:B,"")</f>
        <v/>
      </c>
      <c r="M513" s="1"/>
      <c r="N513" s="1"/>
    </row>
    <row r="514" spans="1:14" ht="30" hidden="1" customHeight="1">
      <c r="A514" s="2" t="str">
        <f>表格2[[#This Row],[站名]]&amp;表格2[[#This Row],[城市]]</f>
        <v>大豹 (撤銷站)新北市</v>
      </c>
      <c r="B514" s="1" t="s">
        <v>1976</v>
      </c>
      <c r="C514" s="1" t="s">
        <v>1977</v>
      </c>
      <c r="D514" s="1">
        <v>24.8871</v>
      </c>
      <c r="E514" s="1">
        <v>121.42149999999999</v>
      </c>
      <c r="F514" s="1" t="s">
        <v>1978</v>
      </c>
      <c r="G514" s="1" t="s">
        <v>2537</v>
      </c>
      <c r="H514" s="1" t="s">
        <v>12</v>
      </c>
      <c r="I514" s="1" t="s">
        <v>1979</v>
      </c>
      <c r="J514" s="1"/>
      <c r="K514" s="2">
        <v>31898</v>
      </c>
      <c r="L514" s="3" t="str">
        <f>_xlfn.XLOOKUP(A:A,Gemini建議!A:A,Gemini建議!B:B,"")</f>
        <v/>
      </c>
      <c r="M514" s="1"/>
      <c r="N514" s="1"/>
    </row>
    <row r="515" spans="1:14" ht="30" hidden="1" customHeight="1">
      <c r="A515" s="2" t="str">
        <f>表格2[[#This Row],[站名]]&amp;表格2[[#This Row],[城市]]</f>
        <v>新城 (撤銷站)花蓮縣</v>
      </c>
      <c r="B515" s="1" t="s">
        <v>1980</v>
      </c>
      <c r="C515" s="1" t="s">
        <v>1981</v>
      </c>
      <c r="D515" s="1">
        <v>23.998799999999999</v>
      </c>
      <c r="E515" s="1">
        <v>121.6056</v>
      </c>
      <c r="F515" s="1" t="s">
        <v>107</v>
      </c>
      <c r="G515" s="1" t="s">
        <v>2552</v>
      </c>
      <c r="H515" s="1" t="s">
        <v>1356</v>
      </c>
      <c r="I515" s="1" t="s">
        <v>1982</v>
      </c>
      <c r="J515" s="1" t="s">
        <v>1983</v>
      </c>
      <c r="K515" s="2">
        <v>34877</v>
      </c>
      <c r="L515" s="3" t="str">
        <f>_xlfn.XLOOKUP(A:A,Gemini建議!A:A,Gemini建議!B:B,"")</f>
        <v/>
      </c>
      <c r="M515" s="1"/>
      <c r="N515" s="1"/>
    </row>
    <row r="516" spans="1:14" ht="30" hidden="1" customHeight="1">
      <c r="A516" s="2" t="str">
        <f>表格2[[#This Row],[站名]]&amp;表格2[[#This Row],[城市]]</f>
        <v>宜梧 (撤銷站)雲林縣</v>
      </c>
      <c r="B516" s="1" t="s">
        <v>1984</v>
      </c>
      <c r="C516" s="1" t="s">
        <v>1985</v>
      </c>
      <c r="D516" s="1">
        <v>23.542200000000001</v>
      </c>
      <c r="E516" s="1">
        <v>120.1726</v>
      </c>
      <c r="F516" s="1" t="s">
        <v>1436</v>
      </c>
      <c r="G516" s="1" t="s">
        <v>2545</v>
      </c>
      <c r="H516" s="1" t="s">
        <v>773</v>
      </c>
      <c r="I516" s="1" t="s">
        <v>1986</v>
      </c>
      <c r="J516" s="1" t="s">
        <v>1987</v>
      </c>
      <c r="K516" s="2">
        <v>33947</v>
      </c>
      <c r="L516" s="3" t="str">
        <f>_xlfn.XLOOKUP(A:A,Gemini建議!A:A,Gemini建議!B:B,"")</f>
        <v/>
      </c>
      <c r="M516" s="1"/>
      <c r="N516" s="1"/>
    </row>
    <row r="517" spans="1:14" ht="30" hidden="1" customHeight="1">
      <c r="A517" s="2" t="str">
        <f>表格2[[#This Row],[站名]]&amp;表格2[[#This Row],[城市]]</f>
        <v>三重 (撤銷站)新北市</v>
      </c>
      <c r="B517" s="1" t="s">
        <v>1988</v>
      </c>
      <c r="C517" s="1" t="s">
        <v>1989</v>
      </c>
      <c r="D517" s="1">
        <v>25.064</v>
      </c>
      <c r="E517" s="1">
        <v>121.4885</v>
      </c>
      <c r="F517" s="1" t="s">
        <v>203</v>
      </c>
      <c r="G517" s="1" t="s">
        <v>2537</v>
      </c>
      <c r="H517" s="1" t="s">
        <v>12</v>
      </c>
      <c r="I517" s="1" t="s">
        <v>1990</v>
      </c>
      <c r="J517" s="1" t="s">
        <v>1991</v>
      </c>
      <c r="K517" s="2">
        <v>35658</v>
      </c>
      <c r="L517" s="3" t="str">
        <f>_xlfn.XLOOKUP(A:A,Gemini建議!A:A,Gemini建議!B:B,"")</f>
        <v/>
      </c>
      <c r="M517" s="1"/>
      <c r="N517" s="1"/>
    </row>
    <row r="518" spans="1:14" ht="30" hidden="1" customHeight="1">
      <c r="A518" s="2" t="str">
        <f>表格2[[#This Row],[站名]]&amp;表格2[[#This Row],[城市]]</f>
        <v>苑里 (撤銷站)苗栗縣</v>
      </c>
      <c r="B518" s="1" t="s">
        <v>1992</v>
      </c>
      <c r="C518" s="1" t="s">
        <v>1993</v>
      </c>
      <c r="D518" s="1">
        <v>24.433499999999999</v>
      </c>
      <c r="E518" s="1">
        <v>120.6801</v>
      </c>
      <c r="F518" s="1" t="s">
        <v>33</v>
      </c>
      <c r="G518" s="1" t="s">
        <v>2541</v>
      </c>
      <c r="H518" s="1" t="s">
        <v>374</v>
      </c>
      <c r="I518" s="1" t="s">
        <v>1994</v>
      </c>
      <c r="J518" s="1"/>
      <c r="K518" s="2">
        <v>33055</v>
      </c>
      <c r="L518" s="3" t="str">
        <f>_xlfn.XLOOKUP(A:A,Gemini建議!A:A,Gemini建議!B:B,"")</f>
        <v/>
      </c>
      <c r="M518" s="1"/>
      <c r="N518" s="1"/>
    </row>
    <row r="519" spans="1:14" ht="30" hidden="1" customHeight="1">
      <c r="A519" s="2" t="str">
        <f>表格2[[#This Row],[站名]]&amp;表格2[[#This Row],[城市]]</f>
        <v>中和 (撤銷站)新北市</v>
      </c>
      <c r="B519" s="1" t="s">
        <v>1995</v>
      </c>
      <c r="C519" s="1" t="s">
        <v>1996</v>
      </c>
      <c r="D519" s="1">
        <v>24.990200000000002</v>
      </c>
      <c r="E519" s="1">
        <v>121.51600000000001</v>
      </c>
      <c r="F519" s="1" t="s">
        <v>107</v>
      </c>
      <c r="G519" s="1" t="s">
        <v>2537</v>
      </c>
      <c r="H519" s="1" t="s">
        <v>12</v>
      </c>
      <c r="I519" s="1" t="s">
        <v>1997</v>
      </c>
      <c r="J519" s="1" t="s">
        <v>1998</v>
      </c>
      <c r="K519" s="2">
        <v>39855</v>
      </c>
      <c r="L519" s="3" t="str">
        <f>_xlfn.XLOOKUP(A:A,Gemini建議!A:A,Gemini建議!B:B,"")</f>
        <v/>
      </c>
      <c r="M519" s="1"/>
      <c r="N519" s="1"/>
    </row>
    <row r="520" spans="1:14" ht="30" hidden="1" customHeight="1">
      <c r="A520" s="2" t="str">
        <f>表格2[[#This Row],[站名]]&amp;表格2[[#This Row],[城市]]</f>
        <v>大尖山 (撤銷站)新北市</v>
      </c>
      <c r="B520" s="1" t="s">
        <v>1999</v>
      </c>
      <c r="C520" s="1" t="s">
        <v>2000</v>
      </c>
      <c r="D520" s="1">
        <v>25.051500000000001</v>
      </c>
      <c r="E520" s="1">
        <v>121.666</v>
      </c>
      <c r="F520" s="1" t="s">
        <v>2001</v>
      </c>
      <c r="G520" s="1" t="s">
        <v>2537</v>
      </c>
      <c r="H520" s="1" t="s">
        <v>12</v>
      </c>
      <c r="I520" s="1" t="s">
        <v>2002</v>
      </c>
      <c r="J520" s="1"/>
      <c r="K520" s="2">
        <v>31898</v>
      </c>
      <c r="L520" s="3" t="str">
        <f>_xlfn.XLOOKUP(A:A,Gemini建議!A:A,Gemini建議!B:B,"")</f>
        <v/>
      </c>
      <c r="M520" s="1"/>
      <c r="N520" s="1"/>
    </row>
    <row r="521" spans="1:14" ht="30" hidden="1" customHeight="1">
      <c r="A521" s="2" t="str">
        <f>表格2[[#This Row],[站名]]&amp;表格2[[#This Row],[城市]]</f>
        <v>新屋 (撤銷站)桃園市</v>
      </c>
      <c r="B521" s="1" t="s">
        <v>2003</v>
      </c>
      <c r="C521" s="1" t="s">
        <v>2004</v>
      </c>
      <c r="D521" s="1">
        <v>24.971299999999999</v>
      </c>
      <c r="E521" s="1">
        <v>121.10680000000001</v>
      </c>
      <c r="F521" s="1" t="s">
        <v>657</v>
      </c>
      <c r="G521" s="1" t="s">
        <v>2538</v>
      </c>
      <c r="H521" s="1" t="s">
        <v>233</v>
      </c>
      <c r="I521" s="1" t="s">
        <v>2005</v>
      </c>
      <c r="J521" s="1"/>
      <c r="K521" s="2">
        <v>31929</v>
      </c>
      <c r="L521" s="3" t="str">
        <f>_xlfn.XLOOKUP(A:A,Gemini建議!A:A,Gemini建議!B:B,"")</f>
        <v/>
      </c>
      <c r="M521" s="1"/>
      <c r="N521" s="1"/>
    </row>
    <row r="522" spans="1:14" ht="30" hidden="1" customHeight="1">
      <c r="A522" s="2" t="str">
        <f>表格2[[#This Row],[站名]]&amp;表格2[[#This Row],[城市]]</f>
        <v>楊梅 (撤銷站)桃園市</v>
      </c>
      <c r="B522" s="1" t="s">
        <v>2006</v>
      </c>
      <c r="C522" s="1" t="s">
        <v>2007</v>
      </c>
      <c r="D522" s="1">
        <v>24.9209</v>
      </c>
      <c r="E522" s="1">
        <v>121.14830000000001</v>
      </c>
      <c r="F522" s="1" t="s">
        <v>2008</v>
      </c>
      <c r="G522" s="1" t="s">
        <v>2538</v>
      </c>
      <c r="H522" s="1" t="s">
        <v>233</v>
      </c>
      <c r="I522" s="1" t="s">
        <v>2009</v>
      </c>
      <c r="J522" s="1" t="s">
        <v>2010</v>
      </c>
      <c r="K522" s="2">
        <v>40878</v>
      </c>
      <c r="L522" s="3" t="str">
        <f>_xlfn.XLOOKUP(A:A,Gemini建議!A:A,Gemini建議!B:B,"")</f>
        <v/>
      </c>
      <c r="M522" s="1"/>
      <c r="N522" s="1"/>
    </row>
    <row r="523" spans="1:14" ht="30" hidden="1" customHeight="1">
      <c r="A523" s="2" t="str">
        <f>表格2[[#This Row],[站名]]&amp;表格2[[#This Row],[城市]]</f>
        <v>苑裡 (撤銷站)苗栗縣</v>
      </c>
      <c r="B523" s="1" t="s">
        <v>2011</v>
      </c>
      <c r="C523" s="1" t="s">
        <v>2012</v>
      </c>
      <c r="D523" s="1">
        <v>24.448499999999999</v>
      </c>
      <c r="E523" s="1">
        <v>120.65819999999999</v>
      </c>
      <c r="F523" s="1" t="s">
        <v>252</v>
      </c>
      <c r="G523" s="1" t="s">
        <v>2541</v>
      </c>
      <c r="H523" s="1" t="s">
        <v>374</v>
      </c>
      <c r="I523" s="1" t="s">
        <v>2013</v>
      </c>
      <c r="J523" s="1"/>
      <c r="K523" s="2">
        <v>40675</v>
      </c>
      <c r="L523" s="3" t="str">
        <f>_xlfn.XLOOKUP(A:A,Gemini建議!A:A,Gemini建議!B:B,"")</f>
        <v/>
      </c>
      <c r="M523" s="1"/>
      <c r="N523" s="1"/>
    </row>
    <row r="524" spans="1:14" ht="30" hidden="1" customHeight="1">
      <c r="A524" s="2" t="str">
        <f>表格2[[#This Row],[站名]]&amp;表格2[[#This Row],[城市]]</f>
        <v>湖口 (撤銷站)新竹縣</v>
      </c>
      <c r="B524" s="1" t="s">
        <v>2014</v>
      </c>
      <c r="C524" s="1" t="s">
        <v>2015</v>
      </c>
      <c r="D524" s="1">
        <v>24.909099999999999</v>
      </c>
      <c r="E524" s="1">
        <v>121.044</v>
      </c>
      <c r="F524" s="1" t="s">
        <v>2016</v>
      </c>
      <c r="G524" s="1" t="s">
        <v>2540</v>
      </c>
      <c r="H524" s="1" t="s">
        <v>307</v>
      </c>
      <c r="I524" s="1" t="s">
        <v>2017</v>
      </c>
      <c r="J524" s="1" t="s">
        <v>2018</v>
      </c>
      <c r="K524" s="2">
        <v>40878</v>
      </c>
      <c r="L524" s="3" t="str">
        <f>_xlfn.XLOOKUP(A:A,Gemini建議!A:A,Gemini建議!B:B,"")</f>
        <v/>
      </c>
      <c r="M524" s="1"/>
      <c r="N524" s="1"/>
    </row>
    <row r="525" spans="1:14" ht="30" hidden="1" customHeight="1">
      <c r="A525" s="2" t="str">
        <f>表格2[[#This Row],[站名]]&amp;表格2[[#This Row],[城市]]</f>
        <v>永和 (撤銷站)新北市</v>
      </c>
      <c r="B525" s="1" t="s">
        <v>2019</v>
      </c>
      <c r="C525" s="1" t="s">
        <v>2020</v>
      </c>
      <c r="D525" s="1">
        <v>25.008900000000001</v>
      </c>
      <c r="E525" s="1">
        <v>121.5048</v>
      </c>
      <c r="F525" s="1" t="s">
        <v>186</v>
      </c>
      <c r="G525" s="1" t="s">
        <v>2537</v>
      </c>
      <c r="H525" s="1" t="s">
        <v>12</v>
      </c>
      <c r="I525" s="1" t="s">
        <v>2021</v>
      </c>
      <c r="J525" s="1"/>
      <c r="K525" s="2">
        <v>35674</v>
      </c>
      <c r="L525" s="3" t="str">
        <f>_xlfn.XLOOKUP(A:A,Gemini建議!A:A,Gemini建議!B:B,"")</f>
        <v/>
      </c>
      <c r="M525" s="1"/>
      <c r="N525" s="1"/>
    </row>
    <row r="526" spans="1:14" ht="30" hidden="1" customHeight="1">
      <c r="A526" s="2" t="str">
        <f>表格2[[#This Row],[站名]]&amp;表格2[[#This Row],[城市]]</f>
        <v>龍潭 (撤銷站)桃園市</v>
      </c>
      <c r="B526" s="1" t="s">
        <v>2022</v>
      </c>
      <c r="C526" s="1" t="s">
        <v>2023</v>
      </c>
      <c r="D526" s="1">
        <v>24.8568</v>
      </c>
      <c r="E526" s="1">
        <v>121.2165</v>
      </c>
      <c r="F526" s="1" t="s">
        <v>2024</v>
      </c>
      <c r="G526" s="1" t="s">
        <v>2538</v>
      </c>
      <c r="H526" s="1" t="s">
        <v>233</v>
      </c>
      <c r="I526" s="1" t="s">
        <v>2025</v>
      </c>
      <c r="J526" s="1"/>
      <c r="K526" s="2">
        <v>39161</v>
      </c>
      <c r="L526" s="3" t="str">
        <f>_xlfn.XLOOKUP(A:A,Gemini建議!A:A,Gemini建議!B:B,"")</f>
        <v/>
      </c>
      <c r="M526" s="1"/>
      <c r="N526" s="1"/>
    </row>
    <row r="527" spans="1:14" ht="30" hidden="1" customHeight="1">
      <c r="A527" s="2" t="str">
        <f>表格2[[#This Row],[站名]]&amp;表格2[[#This Row],[城市]]</f>
        <v>三和 (撤銷站)新北市</v>
      </c>
      <c r="B527" s="1" t="s">
        <v>2026</v>
      </c>
      <c r="C527" s="1" t="s">
        <v>2027</v>
      </c>
      <c r="D527" s="1">
        <v>25.2349</v>
      </c>
      <c r="E527" s="1">
        <v>121.5941</v>
      </c>
      <c r="F527" s="1" t="s">
        <v>1314</v>
      </c>
      <c r="G527" s="1" t="s">
        <v>2537</v>
      </c>
      <c r="H527" s="1" t="s">
        <v>12</v>
      </c>
      <c r="I527" s="1" t="s">
        <v>2028</v>
      </c>
      <c r="J527" s="1" t="s">
        <v>2029</v>
      </c>
      <c r="K527" s="2">
        <v>34577</v>
      </c>
      <c r="L527" s="3" t="str">
        <f>_xlfn.XLOOKUP(A:A,Gemini建議!A:A,Gemini建議!B:B,"")</f>
        <v/>
      </c>
      <c r="M527" s="1"/>
      <c r="N527" s="1"/>
    </row>
    <row r="528" spans="1:14" ht="30" hidden="1" customHeight="1">
      <c r="A528" s="2" t="str">
        <f>表格2[[#This Row],[站名]]&amp;表格2[[#This Row],[城市]]</f>
        <v>新屋 (撤銷站)桃園市</v>
      </c>
      <c r="B528" s="1" t="s">
        <v>2003</v>
      </c>
      <c r="C528" s="1" t="s">
        <v>2030</v>
      </c>
      <c r="D528" s="1">
        <v>25.0076</v>
      </c>
      <c r="E528" s="1">
        <v>121.0476</v>
      </c>
      <c r="F528" s="1" t="s">
        <v>224</v>
      </c>
      <c r="G528" s="1" t="s">
        <v>2538</v>
      </c>
      <c r="H528" s="1" t="s">
        <v>233</v>
      </c>
      <c r="I528" s="1" t="s">
        <v>2031</v>
      </c>
      <c r="J528" s="1" t="s">
        <v>2032</v>
      </c>
      <c r="K528" s="2">
        <v>39448</v>
      </c>
      <c r="L528" s="3" t="str">
        <f>_xlfn.XLOOKUP(A:A,Gemini建議!A:A,Gemini建議!B:B,"")</f>
        <v/>
      </c>
      <c r="M528" s="1"/>
      <c r="N528" s="1"/>
    </row>
    <row r="529" spans="1:14" ht="30" hidden="1" customHeight="1">
      <c r="A529" s="2" t="str">
        <f>表格2[[#This Row],[站名]]&amp;表格2[[#This Row],[城市]]</f>
        <v>關子嶺 (撤銷站)臺南市</v>
      </c>
      <c r="B529" s="1" t="s">
        <v>2033</v>
      </c>
      <c r="C529" s="1" t="s">
        <v>2034</v>
      </c>
      <c r="D529" s="1">
        <v>23.327000000000002</v>
      </c>
      <c r="E529" s="1">
        <v>120.5116</v>
      </c>
      <c r="F529" s="1" t="s">
        <v>2035</v>
      </c>
      <c r="G529" s="1" t="s">
        <v>2548</v>
      </c>
      <c r="H529" s="1" t="s">
        <v>926</v>
      </c>
      <c r="I529" s="1" t="s">
        <v>2036</v>
      </c>
      <c r="J529" s="1"/>
      <c r="K529" s="2">
        <v>33943</v>
      </c>
      <c r="L529" s="3" t="str">
        <f>_xlfn.XLOOKUP(A:A,Gemini建議!A:A,Gemini建議!B:B,"")</f>
        <v/>
      </c>
      <c r="M529" s="1"/>
      <c r="N529" s="1"/>
    </row>
    <row r="530" spans="1:14" ht="30" hidden="1" customHeight="1">
      <c r="A530" s="2" t="str">
        <f>表格2[[#This Row],[站名]]&amp;表格2[[#This Row],[城市]]</f>
        <v>台西 (撤銷站)彰化縣</v>
      </c>
      <c r="B530" s="1" t="s">
        <v>2037</v>
      </c>
      <c r="C530" s="1" t="s">
        <v>2038</v>
      </c>
      <c r="D530" s="1">
        <v>23.848500000000001</v>
      </c>
      <c r="E530" s="1">
        <v>120.27979999999999</v>
      </c>
      <c r="F530" s="1" t="s">
        <v>2039</v>
      </c>
      <c r="G530" s="1" t="s">
        <v>2543</v>
      </c>
      <c r="H530" s="1" t="s">
        <v>611</v>
      </c>
      <c r="I530" s="1" t="s">
        <v>2040</v>
      </c>
      <c r="J530" s="1"/>
      <c r="K530" s="2">
        <v>33731</v>
      </c>
      <c r="L530" s="3" t="str">
        <f>_xlfn.XLOOKUP(A:A,Gemini建議!A:A,Gemini建議!B:B,"")</f>
        <v/>
      </c>
      <c r="M530" s="1"/>
      <c r="N530" s="1"/>
    </row>
    <row r="531" spans="1:14" ht="30" hidden="1" customHeight="1">
      <c r="A531" s="2" t="str">
        <f>表格2[[#This Row],[站名]]&amp;表格2[[#This Row],[城市]]</f>
        <v>新營 (撤銷站)臺南市</v>
      </c>
      <c r="B531" s="1" t="s">
        <v>2041</v>
      </c>
      <c r="C531" s="1" t="s">
        <v>2042</v>
      </c>
      <c r="D531" s="1">
        <v>23.292300000000001</v>
      </c>
      <c r="E531" s="1">
        <v>120.3215</v>
      </c>
      <c r="F531" s="1" t="s">
        <v>1156</v>
      </c>
      <c r="G531" s="1" t="s">
        <v>2548</v>
      </c>
      <c r="H531" s="1" t="s">
        <v>926</v>
      </c>
      <c r="I531" s="1" t="s">
        <v>2043</v>
      </c>
      <c r="J531" s="1"/>
      <c r="K531" s="2">
        <v>32423</v>
      </c>
      <c r="L531" s="3" t="str">
        <f>_xlfn.XLOOKUP(A:A,Gemini建議!A:A,Gemini建議!B:B,"")</f>
        <v/>
      </c>
      <c r="M531" s="1"/>
      <c r="N531" s="1"/>
    </row>
    <row r="532" spans="1:14" ht="30" hidden="1" customHeight="1">
      <c r="A532" s="2" t="str">
        <f>表格2[[#This Row],[站名]]&amp;表格2[[#This Row],[城市]]</f>
        <v>大埔 (撤銷站)雲林縣</v>
      </c>
      <c r="B532" s="1" t="s">
        <v>2044</v>
      </c>
      <c r="C532" s="1" t="s">
        <v>2045</v>
      </c>
      <c r="D532" s="1">
        <v>23.641300000000001</v>
      </c>
      <c r="E532" s="1">
        <v>120.6053</v>
      </c>
      <c r="F532" s="1" t="s">
        <v>2046</v>
      </c>
      <c r="G532" s="1" t="s">
        <v>2545</v>
      </c>
      <c r="H532" s="1" t="s">
        <v>773</v>
      </c>
      <c r="I532" s="1" t="s">
        <v>2047</v>
      </c>
      <c r="J532" s="1"/>
      <c r="K532" s="2">
        <v>33961</v>
      </c>
      <c r="L532" s="3" t="str">
        <f>_xlfn.XLOOKUP(A:A,Gemini建議!A:A,Gemini建議!B:B,"")</f>
        <v/>
      </c>
      <c r="M532" s="1"/>
      <c r="N532" s="1"/>
    </row>
    <row r="533" spans="1:14" ht="30" hidden="1" customHeight="1">
      <c r="A533" s="2" t="str">
        <f>表格2[[#This Row],[站名]]&amp;表格2[[#This Row],[城市]]</f>
        <v>大河 (撤銷站)苗栗縣</v>
      </c>
      <c r="B533" s="1" t="s">
        <v>2048</v>
      </c>
      <c r="C533" s="1" t="s">
        <v>2049</v>
      </c>
      <c r="D533" s="1">
        <v>24.6173</v>
      </c>
      <c r="E533" s="1">
        <v>120.9468</v>
      </c>
      <c r="F533" s="1" t="s">
        <v>2050</v>
      </c>
      <c r="G533" s="1" t="s">
        <v>2541</v>
      </c>
      <c r="H533" s="1" t="s">
        <v>374</v>
      </c>
      <c r="I533" s="1" t="s">
        <v>2051</v>
      </c>
      <c r="J533" s="1" t="s">
        <v>2052</v>
      </c>
      <c r="K533" s="2">
        <v>39448</v>
      </c>
      <c r="L533" s="3" t="str">
        <f>_xlfn.XLOOKUP(A:A,Gemini建議!A:A,Gemini建議!B:B,"")</f>
        <v/>
      </c>
      <c r="M533" s="1"/>
      <c r="N533" s="1"/>
    </row>
    <row r="534" spans="1:14" ht="30" hidden="1" customHeight="1">
      <c r="A534" s="2" t="str">
        <f>表格2[[#This Row],[站名]]&amp;表格2[[#This Row],[城市]]</f>
        <v>橫山 (撤銷站)臺中市</v>
      </c>
      <c r="B534" s="1" t="s">
        <v>2053</v>
      </c>
      <c r="C534" s="1" t="s">
        <v>2054</v>
      </c>
      <c r="D534" s="1">
        <v>24.219100000000001</v>
      </c>
      <c r="E534" s="1">
        <v>120.6073</v>
      </c>
      <c r="F534" s="1" t="s">
        <v>497</v>
      </c>
      <c r="G534" s="1" t="s">
        <v>2542</v>
      </c>
      <c r="H534" s="1" t="s">
        <v>459</v>
      </c>
      <c r="I534" s="1" t="s">
        <v>2055</v>
      </c>
      <c r="J534" s="1" t="s">
        <v>2056</v>
      </c>
      <c r="K534" s="2">
        <v>39539</v>
      </c>
      <c r="L534" s="3" t="str">
        <f>_xlfn.XLOOKUP(A:A,Gemini建議!A:A,Gemini建議!B:B,"")</f>
        <v/>
      </c>
      <c r="M534" s="1"/>
      <c r="N534" s="1"/>
    </row>
    <row r="535" spans="1:14" ht="30" hidden="1" customHeight="1">
      <c r="A535" s="2" t="str">
        <f>表格2[[#This Row],[站名]]&amp;表格2[[#This Row],[城市]]</f>
        <v>左營 (撤銷站)高雄市</v>
      </c>
      <c r="B535" s="1" t="s">
        <v>2057</v>
      </c>
      <c r="C535" s="1" t="s">
        <v>2058</v>
      </c>
      <c r="D535" s="1">
        <v>22.677900000000001</v>
      </c>
      <c r="E535" s="1">
        <v>120.2937</v>
      </c>
      <c r="F535" s="1" t="s">
        <v>162</v>
      </c>
      <c r="G535" s="1" t="s">
        <v>2549</v>
      </c>
      <c r="H535" s="1" t="s">
        <v>1598</v>
      </c>
      <c r="I535" s="1" t="s">
        <v>2059</v>
      </c>
      <c r="J535" s="1" t="s">
        <v>2060</v>
      </c>
      <c r="K535" s="2">
        <v>41609</v>
      </c>
      <c r="L535" s="3" t="str">
        <f>_xlfn.XLOOKUP(A:A,Gemini建議!A:A,Gemini建議!B:B,"")</f>
        <v/>
      </c>
      <c r="M535" s="1"/>
      <c r="N535" s="1"/>
    </row>
    <row r="536" spans="1:14" ht="30" hidden="1" customHeight="1">
      <c r="A536" s="2" t="str">
        <f>表格2[[#This Row],[站名]]&amp;表格2[[#This Row],[城市]]</f>
        <v>羅東 (撤銷站)宜蘭縣</v>
      </c>
      <c r="B536" s="1" t="s">
        <v>2061</v>
      </c>
      <c r="C536" s="1" t="s">
        <v>2062</v>
      </c>
      <c r="D536" s="1">
        <v>24.683800000000002</v>
      </c>
      <c r="E536" s="1">
        <v>121.7478</v>
      </c>
      <c r="F536" s="1" t="s">
        <v>354</v>
      </c>
      <c r="G536" s="1" t="s">
        <v>2551</v>
      </c>
      <c r="H536" s="1" t="s">
        <v>1445</v>
      </c>
      <c r="I536" s="1" t="s">
        <v>2063</v>
      </c>
      <c r="J536" s="1"/>
      <c r="K536" s="2">
        <v>34837</v>
      </c>
      <c r="L536" s="3" t="str">
        <f>_xlfn.XLOOKUP(A:A,Gemini建議!A:A,Gemini建議!B:B,"")</f>
        <v/>
      </c>
      <c r="M536" s="1"/>
      <c r="N536" s="1"/>
    </row>
    <row r="537" spans="1:14" ht="30" hidden="1" customHeight="1">
      <c r="A537" s="2" t="str">
        <f>表格2[[#This Row],[站名]]&amp;表格2[[#This Row],[城市]]</f>
        <v>大崙尾山 (撤銷站)臺北市</v>
      </c>
      <c r="B537" s="1" t="s">
        <v>2064</v>
      </c>
      <c r="C537" s="1" t="s">
        <v>2065</v>
      </c>
      <c r="D537" s="1">
        <v>25.106300000000001</v>
      </c>
      <c r="E537" s="1">
        <v>121.5736</v>
      </c>
      <c r="F537" s="1" t="s">
        <v>2066</v>
      </c>
      <c r="G537" s="1" t="s">
        <v>2536</v>
      </c>
      <c r="H537" s="1" t="s">
        <v>34</v>
      </c>
      <c r="I537" s="1" t="s">
        <v>2067</v>
      </c>
      <c r="J537" s="1"/>
      <c r="K537" s="2">
        <v>35674</v>
      </c>
      <c r="L537" s="3" t="str">
        <f>_xlfn.XLOOKUP(A:A,Gemini建議!A:A,Gemini建議!B:B,"")</f>
        <v/>
      </c>
      <c r="M537" s="1"/>
      <c r="N537" s="1"/>
    </row>
    <row r="538" spans="1:14" ht="30" hidden="1" customHeight="1">
      <c r="A538" s="2" t="str">
        <f>表格2[[#This Row],[站名]]&amp;表格2[[#This Row],[城市]]</f>
        <v>五股 (撤銷站)新北市</v>
      </c>
      <c r="B538" s="1" t="s">
        <v>2068</v>
      </c>
      <c r="C538" s="1" t="s">
        <v>2069</v>
      </c>
      <c r="D538" s="1">
        <v>25.083400000000001</v>
      </c>
      <c r="E538" s="1">
        <v>121.435</v>
      </c>
      <c r="F538" s="1" t="s">
        <v>2070</v>
      </c>
      <c r="G538" s="1" t="s">
        <v>2537</v>
      </c>
      <c r="H538" s="1" t="s">
        <v>12</v>
      </c>
      <c r="I538" s="1" t="s">
        <v>2071</v>
      </c>
      <c r="J538" s="1" t="s">
        <v>2072</v>
      </c>
      <c r="K538" s="2">
        <v>40148</v>
      </c>
      <c r="L538" s="3" t="str">
        <f>_xlfn.XLOOKUP(A:A,Gemini建議!A:A,Gemini建議!B:B,"")</f>
        <v/>
      </c>
      <c r="M538" s="1"/>
      <c r="N538" s="1"/>
    </row>
    <row r="539" spans="1:14" ht="30" hidden="1" customHeight="1">
      <c r="A539" s="2" t="str">
        <f>表格2[[#This Row],[站名]]&amp;表格2[[#This Row],[城市]]</f>
        <v>石岡 (撤銷站)臺中市</v>
      </c>
      <c r="B539" s="1" t="s">
        <v>2073</v>
      </c>
      <c r="C539" s="1" t="s">
        <v>2074</v>
      </c>
      <c r="D539" s="1">
        <v>24.280100000000001</v>
      </c>
      <c r="E539" s="1">
        <v>120.77030000000001</v>
      </c>
      <c r="F539" s="1" t="s">
        <v>2075</v>
      </c>
      <c r="G539" s="1" t="s">
        <v>2542</v>
      </c>
      <c r="H539" s="1" t="s">
        <v>459</v>
      </c>
      <c r="I539" s="1" t="s">
        <v>2076</v>
      </c>
      <c r="J539" s="1" t="s">
        <v>2077</v>
      </c>
      <c r="K539" s="2">
        <v>40848</v>
      </c>
      <c r="L539" s="3" t="str">
        <f>_xlfn.XLOOKUP(A:A,Gemini建議!A:A,Gemini建議!B:B,"")</f>
        <v/>
      </c>
      <c r="M539" s="1"/>
      <c r="N539" s="1"/>
    </row>
    <row r="540" spans="1:14" ht="30" hidden="1" customHeight="1">
      <c r="A540" s="2" t="str">
        <f>表格2[[#This Row],[站名]]&amp;表格2[[#This Row],[城市]]</f>
        <v>林口 (撤銷站)新北市</v>
      </c>
      <c r="B540" s="1" t="s">
        <v>2078</v>
      </c>
      <c r="C540" s="1" t="s">
        <v>2079</v>
      </c>
      <c r="D540" s="1">
        <v>25.0764</v>
      </c>
      <c r="E540" s="1">
        <v>121.37820000000001</v>
      </c>
      <c r="F540" s="1" t="s">
        <v>1258</v>
      </c>
      <c r="G540" s="1" t="s">
        <v>2537</v>
      </c>
      <c r="H540" s="1" t="s">
        <v>12</v>
      </c>
      <c r="I540" s="1" t="s">
        <v>2080</v>
      </c>
      <c r="J540" s="1" t="s">
        <v>2081</v>
      </c>
      <c r="K540" s="2">
        <v>40148</v>
      </c>
      <c r="L540" s="3" t="str">
        <f>_xlfn.XLOOKUP(A:A,Gemini建議!A:A,Gemini建議!B:B,"")</f>
        <v/>
      </c>
      <c r="M540" s="1"/>
      <c r="N540" s="1"/>
    </row>
    <row r="541" spans="1:14" ht="30" hidden="1" customHeight="1">
      <c r="A541" s="2" t="str">
        <f>表格2[[#This Row],[站名]]&amp;表格2[[#This Row],[城市]]</f>
        <v>龜山 (撤銷站)桃園市</v>
      </c>
      <c r="B541" s="1" t="s">
        <v>2082</v>
      </c>
      <c r="C541" s="1" t="s">
        <v>2083</v>
      </c>
      <c r="D541" s="1">
        <v>25.0303</v>
      </c>
      <c r="E541" s="1">
        <v>121.37569999999999</v>
      </c>
      <c r="F541" s="1" t="s">
        <v>2084</v>
      </c>
      <c r="G541" s="1" t="s">
        <v>2538</v>
      </c>
      <c r="H541" s="1" t="s">
        <v>233</v>
      </c>
      <c r="I541" s="1" t="s">
        <v>2085</v>
      </c>
      <c r="J541" s="1"/>
      <c r="K541" s="2">
        <v>39368</v>
      </c>
      <c r="L541" s="3" t="str">
        <f>_xlfn.XLOOKUP(A:A,Gemini建議!A:A,Gemini建議!B:B,"")</f>
        <v/>
      </c>
      <c r="M541" s="1"/>
      <c r="N541" s="1"/>
    </row>
    <row r="542" spans="1:14" ht="30" hidden="1" customHeight="1">
      <c r="A542" s="2" t="str">
        <f>表格2[[#This Row],[站名]]&amp;表格2[[#This Row],[城市]]</f>
        <v>雙崎 (撤銷站)臺中市</v>
      </c>
      <c r="B542" s="1" t="s">
        <v>2086</v>
      </c>
      <c r="C542" s="1" t="s">
        <v>2087</v>
      </c>
      <c r="D542" s="1">
        <v>24.288599999999999</v>
      </c>
      <c r="E542" s="1">
        <v>120.90430000000001</v>
      </c>
      <c r="F542" s="1" t="s">
        <v>2088</v>
      </c>
      <c r="G542" s="1" t="s">
        <v>2542</v>
      </c>
      <c r="H542" s="1" t="s">
        <v>459</v>
      </c>
      <c r="I542" s="1" t="s">
        <v>2089</v>
      </c>
      <c r="J542" s="1"/>
      <c r="K542" s="2">
        <v>33055</v>
      </c>
      <c r="L542" s="3" t="str">
        <f>_xlfn.XLOOKUP(A:A,Gemini建議!A:A,Gemini建議!B:B,"")</f>
        <v/>
      </c>
      <c r="M542" s="1"/>
      <c r="N542" s="1"/>
    </row>
    <row r="543" spans="1:14" ht="30" hidden="1" customHeight="1">
      <c r="A543" s="2" t="str">
        <f>表格2[[#This Row],[站名]]&amp;表格2[[#This Row],[城市]]</f>
        <v>深坑 (撤銷站)新北市</v>
      </c>
      <c r="B543" s="1" t="s">
        <v>2090</v>
      </c>
      <c r="C543" s="1" t="s">
        <v>2091</v>
      </c>
      <c r="D543" s="1">
        <v>25.0014</v>
      </c>
      <c r="E543" s="1">
        <v>121.6176</v>
      </c>
      <c r="F543" s="1" t="s">
        <v>1046</v>
      </c>
      <c r="G543" s="1" t="s">
        <v>2537</v>
      </c>
      <c r="H543" s="1" t="s">
        <v>12</v>
      </c>
      <c r="I543" s="1" t="s">
        <v>2092</v>
      </c>
      <c r="J543" s="1"/>
      <c r="K543" s="2">
        <v>40039</v>
      </c>
      <c r="L543" s="3" t="str">
        <f>_xlfn.XLOOKUP(A:A,Gemini建議!A:A,Gemini建議!B:B,"")</f>
        <v/>
      </c>
      <c r="M543" s="1"/>
      <c r="N543" s="1"/>
    </row>
    <row r="544" spans="1:14" ht="30" hidden="1" customHeight="1">
      <c r="A544" s="2" t="str">
        <f>表格2[[#This Row],[站名]]&amp;表格2[[#This Row],[城市]]</f>
        <v>新城 (撤銷站)花蓮縣</v>
      </c>
      <c r="B544" s="1" t="s">
        <v>1980</v>
      </c>
      <c r="C544" s="1" t="s">
        <v>2093</v>
      </c>
      <c r="D544" s="1">
        <v>24.0379</v>
      </c>
      <c r="E544" s="1">
        <v>121.6095</v>
      </c>
      <c r="F544" s="1" t="s">
        <v>198</v>
      </c>
      <c r="G544" s="1" t="s">
        <v>2552</v>
      </c>
      <c r="H544" s="1" t="s">
        <v>1356</v>
      </c>
      <c r="I544" s="1" t="s">
        <v>2094</v>
      </c>
      <c r="J544" s="1" t="s">
        <v>2095</v>
      </c>
      <c r="K544" s="2">
        <v>40101</v>
      </c>
      <c r="L544" s="3" t="str">
        <f>_xlfn.XLOOKUP(A:A,Gemini建議!A:A,Gemini建議!B:B,"")</f>
        <v/>
      </c>
      <c r="M544" s="1"/>
      <c r="N544" s="1"/>
    </row>
    <row r="545" spans="1:14" ht="30" hidden="1" customHeight="1">
      <c r="A545" s="2" t="str">
        <f>表格2[[#This Row],[站名]]&amp;表格2[[#This Row],[城市]]</f>
        <v>富世 (撤銷站)花蓮縣</v>
      </c>
      <c r="B545" s="1" t="s">
        <v>2096</v>
      </c>
      <c r="C545" s="1" t="s">
        <v>2097</v>
      </c>
      <c r="D545" s="1">
        <v>24.148199999999999</v>
      </c>
      <c r="E545" s="1">
        <v>121.6296</v>
      </c>
      <c r="F545" s="1" t="s">
        <v>2098</v>
      </c>
      <c r="G545" s="1" t="s">
        <v>2552</v>
      </c>
      <c r="H545" s="1" t="s">
        <v>1356</v>
      </c>
      <c r="I545" s="1" t="s">
        <v>1883</v>
      </c>
      <c r="J545" s="1" t="s">
        <v>1884</v>
      </c>
      <c r="K545" s="2">
        <v>38089</v>
      </c>
      <c r="L545" s="3" t="str">
        <f>_xlfn.XLOOKUP(A:A,Gemini建議!A:A,Gemini建議!B:B,"")</f>
        <v/>
      </c>
      <c r="M545" s="1"/>
      <c r="N545" s="1"/>
    </row>
    <row r="546" spans="1:14" ht="30" hidden="1" customHeight="1">
      <c r="A546" s="2" t="str">
        <f>表格2[[#This Row],[站名]]&amp;表格2[[#This Row],[城市]]</f>
        <v>冬山 (撤銷站)宜蘭縣</v>
      </c>
      <c r="B546" s="1" t="s">
        <v>2099</v>
      </c>
      <c r="C546" s="1" t="s">
        <v>2100</v>
      </c>
      <c r="D546" s="1">
        <v>24.632400000000001</v>
      </c>
      <c r="E546" s="1">
        <v>121.79349999999999</v>
      </c>
      <c r="F546" s="1" t="s">
        <v>175</v>
      </c>
      <c r="G546" s="1" t="s">
        <v>2551</v>
      </c>
      <c r="H546" s="1" t="s">
        <v>1445</v>
      </c>
      <c r="I546" s="1" t="s">
        <v>2101</v>
      </c>
      <c r="J546" s="1" t="s">
        <v>2102</v>
      </c>
      <c r="K546" s="2">
        <v>40360</v>
      </c>
      <c r="L546" s="3" t="str">
        <f>_xlfn.XLOOKUP(A:A,Gemini建議!A:A,Gemini建議!B:B,"")</f>
        <v/>
      </c>
      <c r="M546" s="1"/>
      <c r="N546" s="1"/>
    </row>
    <row r="547" spans="1:14" ht="30" hidden="1" customHeight="1">
      <c r="A547" s="2" t="str">
        <f>表格2[[#This Row],[站名]]&amp;表格2[[#This Row],[城市]]</f>
        <v>思源 (撤銷站)宜蘭縣</v>
      </c>
      <c r="B547" s="1" t="s">
        <v>2103</v>
      </c>
      <c r="C547" s="1" t="s">
        <v>2104</v>
      </c>
      <c r="D547" s="1">
        <v>24.397200000000002</v>
      </c>
      <c r="E547" s="1">
        <v>121.3567</v>
      </c>
      <c r="F547" s="1" t="s">
        <v>2105</v>
      </c>
      <c r="G547" s="1" t="s">
        <v>2551</v>
      </c>
      <c r="H547" s="1" t="s">
        <v>1445</v>
      </c>
      <c r="I547" s="1" t="s">
        <v>2106</v>
      </c>
      <c r="J547" s="1"/>
      <c r="K547" s="2">
        <v>34908</v>
      </c>
      <c r="L547" s="3" t="str">
        <f>_xlfn.XLOOKUP(A:A,Gemini建議!A:A,Gemini建議!B:B,"")</f>
        <v/>
      </c>
      <c r="M547" s="1"/>
      <c r="N547" s="1"/>
    </row>
    <row r="548" spans="1:14" ht="30" hidden="1" customHeight="1">
      <c r="A548" s="2" t="str">
        <f>表格2[[#This Row],[站名]]&amp;表格2[[#This Row],[城市]]</f>
        <v>豐裡 (撤銷站)花蓮縣</v>
      </c>
      <c r="B548" s="1" t="s">
        <v>2107</v>
      </c>
      <c r="C548" s="1" t="s">
        <v>2108</v>
      </c>
      <c r="D548" s="1">
        <v>23.842099999999999</v>
      </c>
      <c r="E548" s="1">
        <v>121.5076</v>
      </c>
      <c r="F548" s="1" t="s">
        <v>2039</v>
      </c>
      <c r="G548" s="1" t="s">
        <v>2552</v>
      </c>
      <c r="H548" s="1" t="s">
        <v>1356</v>
      </c>
      <c r="I548" s="1" t="s">
        <v>2109</v>
      </c>
      <c r="J548" s="1" t="s">
        <v>2110</v>
      </c>
      <c r="K548" s="2">
        <v>42889</v>
      </c>
      <c r="L548" s="3" t="str">
        <f>_xlfn.XLOOKUP(A:A,Gemini建議!A:A,Gemini建議!B:B,"")</f>
        <v/>
      </c>
      <c r="M548" s="1"/>
      <c r="N548" s="1"/>
    </row>
    <row r="549" spans="1:14" ht="30" hidden="1" customHeight="1">
      <c r="A549" s="2" t="str">
        <f>表格2[[#This Row],[站名]]&amp;表格2[[#This Row],[城市]]</f>
        <v>中壢 (撤銷站)桃園市</v>
      </c>
      <c r="B549" s="1" t="s">
        <v>2111</v>
      </c>
      <c r="C549" s="1" t="s">
        <v>2112</v>
      </c>
      <c r="D549" s="1">
        <v>24.967600000000001</v>
      </c>
      <c r="E549" s="1">
        <v>121.1853</v>
      </c>
      <c r="F549" s="1" t="s">
        <v>277</v>
      </c>
      <c r="G549" s="1" t="s">
        <v>2538</v>
      </c>
      <c r="H549" s="1" t="s">
        <v>233</v>
      </c>
      <c r="I549" s="1" t="s">
        <v>2113</v>
      </c>
      <c r="J549" s="1" t="s">
        <v>2114</v>
      </c>
      <c r="K549" s="2">
        <v>39356</v>
      </c>
      <c r="L549" s="3" t="str">
        <f>_xlfn.XLOOKUP(A:A,Gemini建議!A:A,Gemini建議!B:B,"")</f>
        <v/>
      </c>
      <c r="M549" s="1"/>
      <c r="N549" s="1"/>
    </row>
    <row r="550" spans="1:14" ht="30" hidden="1" customHeight="1">
      <c r="A550" s="2" t="str">
        <f>表格2[[#This Row],[站名]]&amp;表格2[[#This Row],[城市]]</f>
        <v>壯圍 (撤銷站)宜蘭縣</v>
      </c>
      <c r="B550" s="1" t="s">
        <v>2115</v>
      </c>
      <c r="C550" s="1" t="s">
        <v>2116</v>
      </c>
      <c r="D550" s="1">
        <v>24.7437</v>
      </c>
      <c r="E550" s="1">
        <v>121.78959999999999</v>
      </c>
      <c r="F550" s="1" t="s">
        <v>1056</v>
      </c>
      <c r="G550" s="1" t="s">
        <v>2551</v>
      </c>
      <c r="H550" s="1" t="s">
        <v>1445</v>
      </c>
      <c r="I550" s="1" t="s">
        <v>2117</v>
      </c>
      <c r="J550" s="1" t="s">
        <v>2118</v>
      </c>
      <c r="K550" s="2">
        <v>40360</v>
      </c>
      <c r="L550" s="3" t="str">
        <f>_xlfn.XLOOKUP(A:A,Gemini建議!A:A,Gemini建議!B:B,"")</f>
        <v/>
      </c>
      <c r="M550" s="1"/>
      <c r="N550" s="1"/>
    </row>
    <row r="551" spans="1:14" ht="30" hidden="1" customHeight="1">
      <c r="A551" s="2" t="str">
        <f>表格2[[#This Row],[站名]]&amp;表格2[[#This Row],[城市]]</f>
        <v>表湖 (撤銷站)高雄市</v>
      </c>
      <c r="B551" s="1" t="s">
        <v>2119</v>
      </c>
      <c r="C551" s="1" t="s">
        <v>2120</v>
      </c>
      <c r="D551" s="1">
        <v>23.260200000000001</v>
      </c>
      <c r="E551" s="1">
        <v>120.6647</v>
      </c>
      <c r="F551" s="1" t="s">
        <v>1582</v>
      </c>
      <c r="G551" s="1" t="s">
        <v>2549</v>
      </c>
      <c r="H551" s="1" t="s">
        <v>1598</v>
      </c>
      <c r="I551" s="1" t="s">
        <v>2121</v>
      </c>
      <c r="J551" s="1" t="s">
        <v>2122</v>
      </c>
      <c r="K551" s="2">
        <v>32443</v>
      </c>
      <c r="L551" s="3" t="str">
        <f>_xlfn.XLOOKUP(A:A,Gemini建議!A:A,Gemini建議!B:B,"")</f>
        <v/>
      </c>
      <c r="M551" s="1"/>
      <c r="N551" s="1"/>
    </row>
    <row r="552" spans="1:14" ht="30" hidden="1" customHeight="1">
      <c r="A552" s="2" t="str">
        <f>表格2[[#This Row],[站名]]&amp;表格2[[#This Row],[城市]]</f>
        <v>南港 (撤銷站)臺北市</v>
      </c>
      <c r="B552" s="1" t="s">
        <v>2123</v>
      </c>
      <c r="C552" s="1" t="s">
        <v>2124</v>
      </c>
      <c r="D552" s="1">
        <v>25.055399999999999</v>
      </c>
      <c r="E552" s="1">
        <v>121.60290000000001</v>
      </c>
      <c r="F552" s="1" t="s">
        <v>667</v>
      </c>
      <c r="G552" s="1" t="s">
        <v>2536</v>
      </c>
      <c r="H552" s="1" t="s">
        <v>34</v>
      </c>
      <c r="I552" s="1" t="s">
        <v>2125</v>
      </c>
      <c r="J552" s="1"/>
      <c r="K552" s="2">
        <v>35663</v>
      </c>
      <c r="L552" s="3" t="str">
        <f>_xlfn.XLOOKUP(A:A,Gemini建議!A:A,Gemini建議!B:B,"")</f>
        <v/>
      </c>
      <c r="M552" s="1"/>
      <c r="N552" s="1"/>
    </row>
    <row r="553" spans="1:14" ht="30" hidden="1" customHeight="1">
      <c r="A553" s="2" t="str">
        <f>表格2[[#This Row],[站名]]&amp;表格2[[#This Row],[城市]]</f>
        <v>三重 (撤銷站)新北市</v>
      </c>
      <c r="B553" s="1" t="s">
        <v>1988</v>
      </c>
      <c r="C553" s="1" t="s">
        <v>2126</v>
      </c>
      <c r="D553" s="1">
        <v>25.056699999999999</v>
      </c>
      <c r="E553" s="1">
        <v>121.4885</v>
      </c>
      <c r="F553" s="1" t="s">
        <v>203</v>
      </c>
      <c r="G553" s="1" t="s">
        <v>2537</v>
      </c>
      <c r="H553" s="1" t="s">
        <v>12</v>
      </c>
      <c r="I553" s="1" t="s">
        <v>2127</v>
      </c>
      <c r="J553" s="1" t="s">
        <v>2128</v>
      </c>
      <c r="K553" s="2">
        <v>40462</v>
      </c>
      <c r="L553" s="3" t="str">
        <f>_xlfn.XLOOKUP(A:A,Gemini建議!A:A,Gemini建議!B:B,"")</f>
        <v/>
      </c>
      <c r="M553" s="1"/>
      <c r="N553" s="1"/>
    </row>
    <row r="554" spans="1:14" ht="30" hidden="1" customHeight="1">
      <c r="A554" s="2" t="str">
        <f>表格2[[#This Row],[站名]]&amp;表格2[[#This Row],[城市]]</f>
        <v>東港 (撤銷站)屏東縣</v>
      </c>
      <c r="B554" s="1" t="s">
        <v>2129</v>
      </c>
      <c r="C554" s="1" t="s">
        <v>2130</v>
      </c>
      <c r="D554" s="1">
        <v>22.4649</v>
      </c>
      <c r="E554" s="1">
        <v>120.4417</v>
      </c>
      <c r="F554" s="1" t="s">
        <v>386</v>
      </c>
      <c r="G554" s="1" t="s">
        <v>2550</v>
      </c>
      <c r="H554" s="1" t="s">
        <v>980</v>
      </c>
      <c r="I554" s="1" t="s">
        <v>2131</v>
      </c>
      <c r="J554" s="1" t="s">
        <v>2132</v>
      </c>
      <c r="K554" s="2">
        <v>39766</v>
      </c>
      <c r="L554" s="3" t="str">
        <f>_xlfn.XLOOKUP(A:A,Gemini建議!A:A,Gemini建議!B:B,"")</f>
        <v/>
      </c>
      <c r="M554" s="1"/>
      <c r="N554" s="1"/>
    </row>
    <row r="555" spans="1:14" ht="30" hidden="1" customHeight="1">
      <c r="A555" s="2" t="str">
        <f>表格2[[#This Row],[站名]]&amp;表格2[[#This Row],[城市]]</f>
        <v>竹田 (撤銷站)屏東縣</v>
      </c>
      <c r="B555" s="1" t="s">
        <v>2133</v>
      </c>
      <c r="C555" s="1" t="s">
        <v>2134</v>
      </c>
      <c r="D555" s="1">
        <v>22.584900000000001</v>
      </c>
      <c r="E555" s="1">
        <v>120.544</v>
      </c>
      <c r="F555" s="1" t="s">
        <v>107</v>
      </c>
      <c r="G555" s="1" t="s">
        <v>2550</v>
      </c>
      <c r="H555" s="1" t="s">
        <v>980</v>
      </c>
      <c r="I555" s="1" t="s">
        <v>2135</v>
      </c>
      <c r="J555" s="1"/>
      <c r="K555" s="2">
        <v>41411</v>
      </c>
      <c r="L555" s="3" t="str">
        <f>_xlfn.XLOOKUP(A:A,Gemini建議!A:A,Gemini建議!B:B,"")</f>
        <v/>
      </c>
      <c r="M555" s="1"/>
      <c r="N555" s="1"/>
    </row>
    <row r="556" spans="1:14" ht="30" hidden="1" customHeight="1">
      <c r="A556" s="2" t="str">
        <f>表格2[[#This Row],[站名]]&amp;表格2[[#This Row],[城市]]</f>
        <v>屈尺 (撤銷站)新北市</v>
      </c>
      <c r="B556" s="1" t="s">
        <v>2136</v>
      </c>
      <c r="C556" s="1" t="s">
        <v>2137</v>
      </c>
      <c r="D556" s="1">
        <v>24.9224</v>
      </c>
      <c r="E556" s="1">
        <v>121.5463</v>
      </c>
      <c r="F556" s="1" t="s">
        <v>1831</v>
      </c>
      <c r="G556" s="1" t="s">
        <v>2537</v>
      </c>
      <c r="H556" s="1" t="s">
        <v>12</v>
      </c>
      <c r="I556" s="1" t="s">
        <v>2138</v>
      </c>
      <c r="J556" s="1"/>
      <c r="K556" s="2">
        <v>31898</v>
      </c>
      <c r="L556" s="3" t="str">
        <f>_xlfn.XLOOKUP(A:A,Gemini建議!A:A,Gemini建議!B:B,"")</f>
        <v/>
      </c>
      <c r="M556" s="1"/>
      <c r="N556" s="1"/>
    </row>
    <row r="557" spans="1:14" ht="30" hidden="1" customHeight="1">
      <c r="A557" s="2" t="str">
        <f>表格2[[#This Row],[站名]]&amp;表格2[[#This Row],[城市]]</f>
        <v>枋寮 (撤銷站)屏東縣</v>
      </c>
      <c r="B557" s="1" t="s">
        <v>2139</v>
      </c>
      <c r="C557" s="1" t="s">
        <v>2140</v>
      </c>
      <c r="D557" s="1">
        <v>22.369399999999999</v>
      </c>
      <c r="E557" s="1">
        <v>120.5896</v>
      </c>
      <c r="F557" s="1" t="s">
        <v>933</v>
      </c>
      <c r="G557" s="1" t="s">
        <v>2550</v>
      </c>
      <c r="H557" s="1" t="s">
        <v>980</v>
      </c>
      <c r="I557" s="1" t="s">
        <v>2141</v>
      </c>
      <c r="J557" s="1"/>
      <c r="K557" s="2">
        <v>35557</v>
      </c>
      <c r="L557" s="3" t="str">
        <f>_xlfn.XLOOKUP(A:A,Gemini建議!A:A,Gemini建議!B:B,"")</f>
        <v/>
      </c>
      <c r="M557" s="1"/>
      <c r="N557" s="1"/>
    </row>
    <row r="558" spans="1:14" ht="30" hidden="1" customHeight="1">
      <c r="A558" s="2" t="str">
        <f>表格2[[#This Row],[站名]]&amp;表格2[[#This Row],[城市]]</f>
        <v>楓港 (撤銷站)屏東縣</v>
      </c>
      <c r="B558" s="1" t="s">
        <v>2142</v>
      </c>
      <c r="C558" s="1" t="s">
        <v>2143</v>
      </c>
      <c r="D558" s="1">
        <v>22.190200000000001</v>
      </c>
      <c r="E558" s="1">
        <v>120.6927</v>
      </c>
      <c r="F558" s="1" t="s">
        <v>220</v>
      </c>
      <c r="G558" s="1" t="s">
        <v>2550</v>
      </c>
      <c r="H558" s="1" t="s">
        <v>980</v>
      </c>
      <c r="I558" s="1" t="s">
        <v>2144</v>
      </c>
      <c r="J558" s="1"/>
      <c r="K558" s="2">
        <v>35558</v>
      </c>
      <c r="L558" s="3" t="str">
        <f>_xlfn.XLOOKUP(A:A,Gemini建議!A:A,Gemini建議!B:B,"")</f>
        <v/>
      </c>
      <c r="M558" s="1"/>
      <c r="N558" s="1"/>
    </row>
    <row r="559" spans="1:14" ht="30" hidden="1" customHeight="1">
      <c r="A559" s="2" t="str">
        <f>表格2[[#This Row],[站名]]&amp;表格2[[#This Row],[城市]]</f>
        <v>墾丁 (撤銷站)屏東縣</v>
      </c>
      <c r="B559" s="1" t="s">
        <v>2145</v>
      </c>
      <c r="C559" s="1" t="s">
        <v>2146</v>
      </c>
      <c r="D559" s="1">
        <v>21.945599999999999</v>
      </c>
      <c r="E559" s="1">
        <v>120.8022</v>
      </c>
      <c r="F559" s="1" t="s">
        <v>103</v>
      </c>
      <c r="G559" s="1" t="s">
        <v>2550</v>
      </c>
      <c r="H559" s="1" t="s">
        <v>980</v>
      </c>
      <c r="I559" s="1" t="s">
        <v>2147</v>
      </c>
      <c r="J559" s="1"/>
      <c r="K559" s="2">
        <v>35584</v>
      </c>
      <c r="L559" s="3" t="str">
        <f>_xlfn.XLOOKUP(A:A,Gemini建議!A:A,Gemini建議!B:B,"")</f>
        <v/>
      </c>
      <c r="M559" s="1"/>
      <c r="N559" s="1"/>
    </row>
    <row r="560" spans="1:14" ht="30" hidden="1" customHeight="1">
      <c r="A560" s="2" t="str">
        <f>表格2[[#This Row],[站名]]&amp;表格2[[#This Row],[城市]]</f>
        <v>佳樂水 (撤銷站)屏東縣</v>
      </c>
      <c r="B560" s="1" t="s">
        <v>2148</v>
      </c>
      <c r="C560" s="1" t="s">
        <v>2149</v>
      </c>
      <c r="D560" s="1">
        <v>21.992000000000001</v>
      </c>
      <c r="E560" s="1">
        <v>120.8446</v>
      </c>
      <c r="F560" s="1" t="s">
        <v>82</v>
      </c>
      <c r="G560" s="1" t="s">
        <v>2550</v>
      </c>
      <c r="H560" s="1" t="s">
        <v>980</v>
      </c>
      <c r="I560" s="1" t="s">
        <v>2150</v>
      </c>
      <c r="J560" s="1"/>
      <c r="K560" s="2">
        <v>35559</v>
      </c>
      <c r="L560" s="3" t="str">
        <f>_xlfn.XLOOKUP(A:A,Gemini建議!A:A,Gemini建議!B:B,"")</f>
        <v/>
      </c>
      <c r="M560" s="1"/>
      <c r="N560" s="1"/>
    </row>
    <row r="561" spans="1:14" ht="30" hidden="1" customHeight="1">
      <c r="A561" s="2" t="str">
        <f>表格2[[#This Row],[站名]]&amp;表格2[[#This Row],[城市]]</f>
        <v>石牌 (撤銷站)臺北市</v>
      </c>
      <c r="B561" s="1" t="s">
        <v>2151</v>
      </c>
      <c r="C561" s="1" t="s">
        <v>2152</v>
      </c>
      <c r="D561" s="1">
        <v>25.116299999999999</v>
      </c>
      <c r="E561" s="1">
        <v>121.5138</v>
      </c>
      <c r="F561" s="1" t="s">
        <v>1024</v>
      </c>
      <c r="G561" s="1" t="s">
        <v>2536</v>
      </c>
      <c r="H561" s="1" t="s">
        <v>34</v>
      </c>
      <c r="I561" s="1" t="s">
        <v>2153</v>
      </c>
      <c r="J561" s="1" t="s">
        <v>168</v>
      </c>
      <c r="K561" s="2">
        <v>35658</v>
      </c>
      <c r="L561" s="3" t="str">
        <f>_xlfn.XLOOKUP(A:A,Gemini建議!A:A,Gemini建議!B:B,"")</f>
        <v/>
      </c>
      <c r="M561" s="1"/>
      <c r="N561" s="1"/>
    </row>
    <row r="562" spans="1:14" ht="30" hidden="1" customHeight="1">
      <c r="A562" s="2" t="str">
        <f>表格2[[#This Row],[站名]]&amp;表格2[[#This Row],[城市]]</f>
        <v>田中 (撤銷站)彰化縣</v>
      </c>
      <c r="B562" s="1" t="s">
        <v>2154</v>
      </c>
      <c r="C562" s="1" t="s">
        <v>2155</v>
      </c>
      <c r="D562" s="1">
        <v>23.8568</v>
      </c>
      <c r="E562" s="1">
        <v>120.5883</v>
      </c>
      <c r="F562" s="1" t="s">
        <v>405</v>
      </c>
      <c r="G562" s="1" t="s">
        <v>2543</v>
      </c>
      <c r="H562" s="1" t="s">
        <v>611</v>
      </c>
      <c r="I562" s="1" t="s">
        <v>2156</v>
      </c>
      <c r="J562" s="1"/>
      <c r="K562" s="2">
        <v>40756</v>
      </c>
      <c r="L562" s="3" t="str">
        <f>_xlfn.XLOOKUP(A:A,Gemini建議!A:A,Gemini建議!B:B,"")</f>
        <v/>
      </c>
      <c r="M562" s="1"/>
      <c r="N562" s="1"/>
    </row>
    <row r="563" spans="1:14" ht="30" hidden="1" customHeight="1">
      <c r="A563" s="2" t="str">
        <f>表格2[[#This Row],[站名]]&amp;表格2[[#This Row],[城市]]</f>
        <v>花壇 (撤銷站)彰化縣</v>
      </c>
      <c r="B563" s="1" t="s">
        <v>2157</v>
      </c>
      <c r="C563" s="1" t="s">
        <v>2158</v>
      </c>
      <c r="D563" s="1">
        <v>24.016100000000002</v>
      </c>
      <c r="E563" s="1">
        <v>120.5523</v>
      </c>
      <c r="F563" s="1" t="s">
        <v>99</v>
      </c>
      <c r="G563" s="1" t="s">
        <v>2543</v>
      </c>
      <c r="H563" s="1" t="s">
        <v>611</v>
      </c>
      <c r="I563" s="1" t="s">
        <v>2159</v>
      </c>
      <c r="J563" s="1"/>
      <c r="K563" s="2">
        <v>40643</v>
      </c>
      <c r="L563" s="3" t="str">
        <f>_xlfn.XLOOKUP(A:A,Gemini建議!A:A,Gemini建議!B:B,"")</f>
        <v/>
      </c>
      <c r="M563" s="1"/>
      <c r="N563" s="1"/>
    </row>
    <row r="564" spans="1:14" ht="30" hidden="1" customHeight="1">
      <c r="A564" s="2" t="str">
        <f>表格2[[#This Row],[站名]]&amp;表格2[[#This Row],[城市]]</f>
        <v>三義 (撤銷站)苗栗縣</v>
      </c>
      <c r="B564" s="1" t="s">
        <v>2160</v>
      </c>
      <c r="C564" s="1" t="s">
        <v>2161</v>
      </c>
      <c r="D564" s="1">
        <v>24.410900000000002</v>
      </c>
      <c r="E564" s="1">
        <v>120.76600000000001</v>
      </c>
      <c r="F564" s="1" t="s">
        <v>2162</v>
      </c>
      <c r="G564" s="1" t="s">
        <v>2541</v>
      </c>
      <c r="H564" s="1" t="s">
        <v>374</v>
      </c>
      <c r="I564" s="1" t="s">
        <v>2163</v>
      </c>
      <c r="J564" s="1"/>
      <c r="K564" s="2">
        <v>33055</v>
      </c>
      <c r="L564" s="3" t="str">
        <f>_xlfn.XLOOKUP(A:A,Gemini建議!A:A,Gemini建議!B:B,"")</f>
        <v/>
      </c>
      <c r="M564" s="1"/>
      <c r="N564" s="1"/>
    </row>
    <row r="565" spans="1:14" ht="30" hidden="1" customHeight="1">
      <c r="A565" s="2" t="str">
        <f>表格2[[#This Row],[站名]]&amp;表格2[[#This Row],[城市]]</f>
        <v>牡丹池山 (撤銷站)屏東縣</v>
      </c>
      <c r="B565" s="1" t="s">
        <v>2164</v>
      </c>
      <c r="C565" s="1" t="s">
        <v>2165</v>
      </c>
      <c r="D565" s="1">
        <v>22.1678</v>
      </c>
      <c r="E565" s="1">
        <v>120.84059999999999</v>
      </c>
      <c r="F565" s="1" t="s">
        <v>2166</v>
      </c>
      <c r="G565" s="1" t="s">
        <v>2550</v>
      </c>
      <c r="H565" s="1" t="s">
        <v>980</v>
      </c>
      <c r="I565" s="1" t="s">
        <v>2167</v>
      </c>
      <c r="J565" s="1"/>
      <c r="K565" s="2">
        <v>36263</v>
      </c>
      <c r="L565" s="3" t="str">
        <f>_xlfn.XLOOKUP(A:A,Gemini建議!A:A,Gemini建議!B:B,"")</f>
        <v/>
      </c>
      <c r="M565" s="1"/>
      <c r="N565" s="1"/>
    </row>
    <row r="566" spans="1:14" ht="30" hidden="1" customHeight="1">
      <c r="A566" s="2" t="str">
        <f>表格2[[#This Row],[站名]]&amp;表格2[[#This Row],[城市]]</f>
        <v>柳營 (撤銷站)臺南市</v>
      </c>
      <c r="B566" s="1" t="s">
        <v>2168</v>
      </c>
      <c r="C566" s="1" t="s">
        <v>2169</v>
      </c>
      <c r="D566" s="1">
        <v>23.257200000000001</v>
      </c>
      <c r="E566" s="1">
        <v>120.3736</v>
      </c>
      <c r="F566" s="1" t="s">
        <v>866</v>
      </c>
      <c r="G566" s="1" t="s">
        <v>2548</v>
      </c>
      <c r="H566" s="1" t="s">
        <v>926</v>
      </c>
      <c r="I566" s="1" t="s">
        <v>2170</v>
      </c>
      <c r="J566" s="1"/>
      <c r="K566" s="2">
        <v>42143</v>
      </c>
      <c r="L566" s="3" t="str">
        <f>_xlfn.XLOOKUP(A:A,Gemini建議!A:A,Gemini建議!B:B,"")</f>
        <v/>
      </c>
      <c r="M566" s="1"/>
      <c r="N566" s="1"/>
    </row>
    <row r="567" spans="1:14" ht="30" hidden="1" customHeight="1">
      <c r="A567" s="2" t="str">
        <f>表格2[[#This Row],[站名]]&amp;表格2[[#This Row],[城市]]</f>
        <v>山美 (撤銷站)嘉義縣</v>
      </c>
      <c r="B567" s="1" t="s">
        <v>2171</v>
      </c>
      <c r="C567" s="1" t="s">
        <v>2172</v>
      </c>
      <c r="D567" s="1">
        <v>23.383800000000001</v>
      </c>
      <c r="E567" s="1">
        <v>120.6682</v>
      </c>
      <c r="F567" s="1" t="s">
        <v>2173</v>
      </c>
      <c r="G567" s="1" t="s">
        <v>2547</v>
      </c>
      <c r="H567" s="1" t="s">
        <v>841</v>
      </c>
      <c r="I567" s="1" t="s">
        <v>2174</v>
      </c>
      <c r="J567" s="1"/>
      <c r="K567" s="2">
        <v>42310</v>
      </c>
      <c r="L567" s="3" t="str">
        <f>_xlfn.XLOOKUP(A:A,Gemini建議!A:A,Gemini建議!B:B,"")</f>
        <v/>
      </c>
      <c r="M567" s="1"/>
      <c r="N567" s="1"/>
    </row>
    <row r="568" spans="1:14" ht="30" hidden="1" customHeight="1">
      <c r="A568" s="2" t="str">
        <f>表格2[[#This Row],[站名]]&amp;表格2[[#This Row],[城市]]</f>
        <v>紅葉山 (撤銷站)臺東縣</v>
      </c>
      <c r="B568" s="1" t="s">
        <v>2175</v>
      </c>
      <c r="C568" s="1" t="s">
        <v>2176</v>
      </c>
      <c r="D568" s="1">
        <v>22.919799999999999</v>
      </c>
      <c r="E568" s="1">
        <v>121.03919999999999</v>
      </c>
      <c r="F568" s="1" t="s">
        <v>2177</v>
      </c>
      <c r="G568" s="1" t="s">
        <v>2553</v>
      </c>
      <c r="H568" s="1" t="s">
        <v>1196</v>
      </c>
      <c r="I568" s="1" t="s">
        <v>2178</v>
      </c>
      <c r="J568" s="1"/>
      <c r="K568" s="2">
        <v>35565</v>
      </c>
      <c r="L568" s="3" t="str">
        <f>_xlfn.XLOOKUP(A:A,Gemini建議!A:A,Gemini建議!B:B,"")</f>
        <v/>
      </c>
      <c r="M568" s="1"/>
      <c r="N568" s="1"/>
    </row>
    <row r="569" spans="1:14" ht="30" hidden="1" customHeight="1">
      <c r="A569" s="2" t="str">
        <f>表格2[[#This Row],[站名]]&amp;表格2[[#This Row],[城市]]</f>
        <v>大直 (撤銷站)臺北市</v>
      </c>
      <c r="B569" s="1" t="s">
        <v>2179</v>
      </c>
      <c r="C569" s="1" t="s">
        <v>2180</v>
      </c>
      <c r="D569" s="1">
        <v>25.077999999999999</v>
      </c>
      <c r="E569" s="1">
        <v>121.5429</v>
      </c>
      <c r="F569" s="1" t="s">
        <v>354</v>
      </c>
      <c r="G569" s="1" t="s">
        <v>2536</v>
      </c>
      <c r="H569" s="1" t="s">
        <v>34</v>
      </c>
      <c r="I569" s="1" t="s">
        <v>2181</v>
      </c>
      <c r="J569" s="1"/>
      <c r="K569" s="2">
        <v>35674</v>
      </c>
      <c r="L569" s="3" t="str">
        <f>_xlfn.XLOOKUP(A:A,Gemini建議!A:A,Gemini建議!B:B,"")</f>
        <v/>
      </c>
      <c r="M569" s="1"/>
      <c r="N569" s="1"/>
    </row>
    <row r="570" spans="1:14" ht="30" hidden="1" customHeight="1">
      <c r="A570" s="2" t="str">
        <f>表格2[[#This Row],[站名]]&amp;表格2[[#This Row],[城市]]</f>
        <v>中和 (撤銷站)新北市</v>
      </c>
      <c r="B570" s="1" t="s">
        <v>1995</v>
      </c>
      <c r="C570" s="1" t="s">
        <v>2182</v>
      </c>
      <c r="D570" s="1">
        <v>24.992599999999999</v>
      </c>
      <c r="E570" s="1">
        <v>121.49039999999999</v>
      </c>
      <c r="F570" s="1" t="s">
        <v>94</v>
      </c>
      <c r="G570" s="1" t="s">
        <v>2537</v>
      </c>
      <c r="H570" s="1" t="s">
        <v>12</v>
      </c>
      <c r="I570" s="1" t="s">
        <v>2183</v>
      </c>
      <c r="J570" s="1"/>
      <c r="K570" s="2">
        <v>40747</v>
      </c>
      <c r="L570" s="3" t="str">
        <f>_xlfn.XLOOKUP(A:A,Gemini建議!A:A,Gemini建議!B:B,"")</f>
        <v/>
      </c>
      <c r="M570" s="1"/>
      <c r="N570" s="1"/>
    </row>
    <row r="571" spans="1:14" ht="30" hidden="1" customHeight="1">
      <c r="A571" s="2" t="str">
        <f>表格2[[#This Row],[站名]]&amp;表格2[[#This Row],[城市]]</f>
        <v>古坑 (撤銷站)雲林縣</v>
      </c>
      <c r="B571" s="1" t="s">
        <v>2184</v>
      </c>
      <c r="C571" s="1" t="s">
        <v>2185</v>
      </c>
      <c r="D571" s="1">
        <v>23.654299999999999</v>
      </c>
      <c r="E571" s="1">
        <v>120.5598</v>
      </c>
      <c r="F571" s="1" t="s">
        <v>2186</v>
      </c>
      <c r="G571" s="1" t="s">
        <v>2545</v>
      </c>
      <c r="H571" s="1" t="s">
        <v>773</v>
      </c>
      <c r="I571" s="1" t="s">
        <v>2187</v>
      </c>
      <c r="J571" s="1"/>
      <c r="K571" s="2">
        <v>42067</v>
      </c>
      <c r="L571" s="3" t="str">
        <f>_xlfn.XLOOKUP(A:A,Gemini建議!A:A,Gemini建議!B:B,"")</f>
        <v/>
      </c>
      <c r="M571" s="1"/>
      <c r="N571" s="1"/>
    </row>
    <row r="572" spans="1:14" ht="30" hidden="1" customHeight="1">
      <c r="A572" s="2" t="str">
        <f>表格2[[#This Row],[站名]]&amp;表格2[[#This Row],[城市]]</f>
        <v>士林 (撤銷站)臺北市</v>
      </c>
      <c r="B572" s="1" t="s">
        <v>2188</v>
      </c>
      <c r="C572" s="1" t="s">
        <v>2189</v>
      </c>
      <c r="D572" s="1">
        <v>25.090299999999999</v>
      </c>
      <c r="E572" s="1">
        <v>121.503</v>
      </c>
      <c r="F572" s="1" t="s">
        <v>162</v>
      </c>
      <c r="G572" s="1" t="s">
        <v>2536</v>
      </c>
      <c r="H572" s="1" t="s">
        <v>34</v>
      </c>
      <c r="I572" s="1" t="s">
        <v>2190</v>
      </c>
      <c r="J572" s="1"/>
      <c r="K572" s="2">
        <v>35663</v>
      </c>
      <c r="L572" s="3" t="str">
        <f>_xlfn.XLOOKUP(A:A,Gemini建議!A:A,Gemini建議!B:B,"")</f>
        <v/>
      </c>
      <c r="M572" s="1"/>
      <c r="N572" s="1"/>
    </row>
    <row r="573" spans="1:14" ht="30" hidden="1" customHeight="1">
      <c r="A573" s="2" t="str">
        <f>表格2[[#This Row],[站名]]&amp;表格2[[#This Row],[城市]]</f>
        <v>高鐵彰化 (撤銷站)彰化縣</v>
      </c>
      <c r="B573" s="1" t="s">
        <v>2191</v>
      </c>
      <c r="C573" s="1" t="s">
        <v>2192</v>
      </c>
      <c r="D573" s="1">
        <v>23.8752</v>
      </c>
      <c r="E573" s="1">
        <v>120.5746</v>
      </c>
      <c r="F573" s="1" t="s">
        <v>418</v>
      </c>
      <c r="G573" s="1" t="s">
        <v>2543</v>
      </c>
      <c r="H573" s="1" t="s">
        <v>611</v>
      </c>
      <c r="I573" s="1" t="s">
        <v>2193</v>
      </c>
      <c r="J573" s="1"/>
      <c r="K573" s="2">
        <v>42948</v>
      </c>
      <c r="L573" s="3" t="str">
        <f>_xlfn.XLOOKUP(A:A,Gemini建議!A:A,Gemini建議!B:B,"")</f>
        <v/>
      </c>
      <c r="M573" s="1"/>
      <c r="N573" s="1"/>
    </row>
    <row r="574" spans="1:14" ht="30" hidden="1" customHeight="1">
      <c r="A574" s="2" t="str">
        <f>表格2[[#This Row],[站名]]&amp;表格2[[#This Row],[城市]]</f>
        <v>香山 (撤銷站)新竹市</v>
      </c>
      <c r="B574" s="1" t="s">
        <v>2194</v>
      </c>
      <c r="C574" s="1" t="s">
        <v>2195</v>
      </c>
      <c r="D574" s="1">
        <v>24.7469</v>
      </c>
      <c r="E574" s="1">
        <v>120.9055</v>
      </c>
      <c r="F574" s="1" t="s">
        <v>220</v>
      </c>
      <c r="G574" s="1" t="s">
        <v>2539</v>
      </c>
      <c r="H574" s="1" t="s">
        <v>347</v>
      </c>
      <c r="I574" s="1" t="s">
        <v>2196</v>
      </c>
      <c r="J574" s="1"/>
      <c r="K574" s="2">
        <v>39367</v>
      </c>
      <c r="L574" s="3" t="str">
        <f>_xlfn.XLOOKUP(A:A,Gemini建議!A:A,Gemini建議!B:B,"")</f>
        <v/>
      </c>
      <c r="M574" s="1"/>
      <c r="N574" s="1"/>
    </row>
    <row r="575" spans="1:14" ht="30" hidden="1" customHeight="1">
      <c r="A575" s="2" t="str">
        <f>表格2[[#This Row],[站名]]&amp;表格2[[#This Row],[城市]]</f>
        <v>竹塘 (撤銷站)彰化縣</v>
      </c>
      <c r="B575" s="1" t="s">
        <v>2197</v>
      </c>
      <c r="C575" s="1" t="s">
        <v>2198</v>
      </c>
      <c r="D575" s="1">
        <v>23.846599999999999</v>
      </c>
      <c r="E575" s="1">
        <v>120.38249999999999</v>
      </c>
      <c r="F575" s="1" t="s">
        <v>386</v>
      </c>
      <c r="G575" s="1" t="s">
        <v>2543</v>
      </c>
      <c r="H575" s="1" t="s">
        <v>611</v>
      </c>
      <c r="I575" s="1" t="s">
        <v>2199</v>
      </c>
      <c r="J575" s="1"/>
      <c r="K575" s="2">
        <v>42067</v>
      </c>
      <c r="L575" s="3" t="str">
        <f>_xlfn.XLOOKUP(A:A,Gemini建議!A:A,Gemini建議!B:B,"")</f>
        <v/>
      </c>
      <c r="M575" s="1"/>
      <c r="N575" s="1"/>
    </row>
    <row r="576" spans="1:14" ht="30" hidden="1" customHeight="1">
      <c r="A576" s="2" t="str">
        <f>表格2[[#This Row],[站名]]&amp;表格2[[#This Row],[城市]]</f>
        <v>東引 (撤銷站)連江縣</v>
      </c>
      <c r="B576" s="1" t="s">
        <v>2200</v>
      </c>
      <c r="C576" s="1" t="s">
        <v>2201</v>
      </c>
      <c r="D576" s="1">
        <v>26.358799999999999</v>
      </c>
      <c r="E576" s="1">
        <v>120.4836</v>
      </c>
      <c r="F576" s="1" t="s">
        <v>667</v>
      </c>
      <c r="G576" s="1" t="s">
        <v>2556</v>
      </c>
      <c r="H576" s="1" t="s">
        <v>1725</v>
      </c>
      <c r="I576" s="1" t="s">
        <v>2202</v>
      </c>
      <c r="J576" s="1"/>
      <c r="K576" s="2">
        <v>42894</v>
      </c>
      <c r="L576" s="3" t="str">
        <f>_xlfn.XLOOKUP(A:A,Gemini建議!A:A,Gemini建議!B:B,"")</f>
        <v/>
      </c>
      <c r="M576" s="1"/>
      <c r="N576" s="1"/>
    </row>
    <row r="577" spans="1:14" ht="30" hidden="1" customHeight="1">
      <c r="A577" s="2" t="str">
        <f>表格2[[#This Row],[站名]]&amp;表格2[[#This Row],[城市]]</f>
        <v>雲林東勢 (撤銷站)雲林縣</v>
      </c>
      <c r="B577" s="1" t="s">
        <v>2203</v>
      </c>
      <c r="C577" s="1" t="s">
        <v>2204</v>
      </c>
      <c r="D577" s="1">
        <v>23.674900000000001</v>
      </c>
      <c r="E577" s="1">
        <v>120.25279999999999</v>
      </c>
      <c r="F577" s="1" t="s">
        <v>817</v>
      </c>
      <c r="G577" s="1" t="s">
        <v>2545</v>
      </c>
      <c r="H577" s="1" t="s">
        <v>773</v>
      </c>
      <c r="I577" s="1" t="s">
        <v>2205</v>
      </c>
      <c r="J577" s="1" t="s">
        <v>2206</v>
      </c>
      <c r="K577" s="2">
        <v>42076</v>
      </c>
      <c r="L577" s="3" t="str">
        <f>_xlfn.XLOOKUP(A:A,Gemini建議!A:A,Gemini建議!B:B,"")</f>
        <v/>
      </c>
      <c r="M577" s="1"/>
      <c r="N577" s="1"/>
    </row>
    <row r="578" spans="1:14" ht="30" hidden="1" customHeight="1">
      <c r="A578" s="2" t="str">
        <f>表格2[[#This Row],[站名]]&amp;表格2[[#This Row],[城市]]</f>
        <v>大園 (撤銷站)桃園市</v>
      </c>
      <c r="B578" s="1" t="s">
        <v>2207</v>
      </c>
      <c r="C578" s="1" t="s">
        <v>2208</v>
      </c>
      <c r="D578" s="1">
        <v>25.047799999999999</v>
      </c>
      <c r="E578" s="1">
        <v>121.226</v>
      </c>
      <c r="F578" s="1" t="s">
        <v>2209</v>
      </c>
      <c r="G578" s="1" t="s">
        <v>2538</v>
      </c>
      <c r="H578" s="1" t="s">
        <v>233</v>
      </c>
      <c r="I578" s="1" t="s">
        <v>2210</v>
      </c>
      <c r="J578" s="1" t="s">
        <v>2211</v>
      </c>
      <c r="K578" s="2">
        <v>39448</v>
      </c>
      <c r="L578" s="3" t="str">
        <f>_xlfn.XLOOKUP(A:A,Gemini建議!A:A,Gemini建議!B:B,"")</f>
        <v/>
      </c>
      <c r="M578" s="1"/>
      <c r="N578" s="1"/>
    </row>
    <row r="579" spans="1:14" ht="30" hidden="1" customHeight="1">
      <c r="A579" s="2" t="str">
        <f>表格2[[#This Row],[站名]]&amp;表格2[[#This Row],[城市]]</f>
        <v>旗津 (撤銷站)高雄市</v>
      </c>
      <c r="B579" s="1" t="s">
        <v>2212</v>
      </c>
      <c r="C579" s="1" t="s">
        <v>2213</v>
      </c>
      <c r="D579" s="1">
        <v>22.5886</v>
      </c>
      <c r="E579" s="1">
        <v>120.2859</v>
      </c>
      <c r="F579" s="1" t="s">
        <v>1718</v>
      </c>
      <c r="G579" s="1" t="s">
        <v>2549</v>
      </c>
      <c r="H579" s="1" t="s">
        <v>1598</v>
      </c>
      <c r="I579" s="1" t="s">
        <v>2214</v>
      </c>
      <c r="J579" s="1" t="s">
        <v>2215</v>
      </c>
      <c r="K579" s="2">
        <v>40106</v>
      </c>
      <c r="L579" s="3" t="str">
        <f>_xlfn.XLOOKUP(A:A,Gemini建議!A:A,Gemini建議!B:B,"")</f>
        <v/>
      </c>
      <c r="M579" s="1"/>
      <c r="N579" s="1"/>
    </row>
    <row r="580" spans="1:14" ht="30" hidden="1" customHeight="1">
      <c r="A580" s="2" t="str">
        <f>表格2[[#This Row],[站名]]&amp;表格2[[#This Row],[城市]]</f>
        <v>林邊 (撤銷站)屏東縣</v>
      </c>
      <c r="B580" s="1" t="s">
        <v>2216</v>
      </c>
      <c r="C580" s="1" t="s">
        <v>2217</v>
      </c>
      <c r="D580" s="1">
        <v>22.430800000000001</v>
      </c>
      <c r="E580" s="1">
        <v>120.51</v>
      </c>
      <c r="F580" s="1" t="s">
        <v>1156</v>
      </c>
      <c r="G580" s="1" t="s">
        <v>2550</v>
      </c>
      <c r="H580" s="1" t="s">
        <v>980</v>
      </c>
      <c r="I580" s="1" t="s">
        <v>2218</v>
      </c>
      <c r="J580" s="1"/>
      <c r="K580" s="2">
        <v>41436</v>
      </c>
      <c r="L580" s="3" t="str">
        <f>_xlfn.XLOOKUP(A:A,Gemini建議!A:A,Gemini建議!B:B,"")</f>
        <v/>
      </c>
      <c r="M580" s="1"/>
      <c r="N580" s="1"/>
    </row>
    <row r="581" spans="1:14" ht="30" hidden="1" customHeight="1">
      <c r="A581" s="2" t="str">
        <f>表格2[[#This Row],[站名]]&amp;表格2[[#This Row],[城市]]</f>
        <v>卓蘭 (撤銷站)苗栗縣</v>
      </c>
      <c r="B581" s="1" t="s">
        <v>2219</v>
      </c>
      <c r="C581" s="1" t="s">
        <v>2220</v>
      </c>
      <c r="D581" s="1">
        <v>24.312799999999999</v>
      </c>
      <c r="E581" s="1">
        <v>120.8248</v>
      </c>
      <c r="F581" s="1" t="s">
        <v>2221</v>
      </c>
      <c r="G581" s="1" t="s">
        <v>2541</v>
      </c>
      <c r="H581" s="1" t="s">
        <v>374</v>
      </c>
      <c r="I581" s="1" t="s">
        <v>2222</v>
      </c>
      <c r="J581" s="1" t="s">
        <v>415</v>
      </c>
      <c r="K581" s="2">
        <v>40574</v>
      </c>
      <c r="L581" s="3" t="str">
        <f>_xlfn.XLOOKUP(A:A,Gemini建議!A:A,Gemini建議!B:B,"")</f>
        <v/>
      </c>
      <c r="M581" s="1"/>
      <c r="N581" s="1"/>
    </row>
    <row r="582" spans="1:14" ht="30" hidden="1" customHeight="1">
      <c r="A582" s="2" t="str">
        <f>表格2[[#This Row],[站名]]&amp;表格2[[#This Row],[城市]]</f>
        <v>楠梓 (撤銷站)高雄市</v>
      </c>
      <c r="B582" s="1" t="s">
        <v>2223</v>
      </c>
      <c r="C582" s="1" t="s">
        <v>2224</v>
      </c>
      <c r="D582" s="1">
        <v>22.719799999999999</v>
      </c>
      <c r="E582" s="1">
        <v>120.286</v>
      </c>
      <c r="F582" s="1" t="s">
        <v>103</v>
      </c>
      <c r="G582" s="1" t="s">
        <v>2549</v>
      </c>
      <c r="H582" s="1" t="s">
        <v>1598</v>
      </c>
      <c r="I582" s="1" t="s">
        <v>2225</v>
      </c>
      <c r="J582" s="1"/>
      <c r="K582" s="2">
        <v>41547</v>
      </c>
      <c r="L582" s="3" t="str">
        <f>_xlfn.XLOOKUP(A:A,Gemini建議!A:A,Gemini建議!B:B,"")</f>
        <v/>
      </c>
      <c r="M582" s="1"/>
      <c r="N582" s="1"/>
    </row>
    <row r="583" spans="1:14" ht="30" hidden="1" customHeight="1">
      <c r="A583" s="2" t="str">
        <f>表格2[[#This Row],[站名]]&amp;表格2[[#This Row],[城市]]</f>
        <v>萬丹 (撤銷站)屏東縣</v>
      </c>
      <c r="B583" s="1" t="s">
        <v>2226</v>
      </c>
      <c r="C583" s="1" t="s">
        <v>2227</v>
      </c>
      <c r="D583" s="1">
        <v>22.587800000000001</v>
      </c>
      <c r="E583" s="1">
        <v>120.49039999999999</v>
      </c>
      <c r="F583" s="1" t="s">
        <v>386</v>
      </c>
      <c r="G583" s="1" t="s">
        <v>2550</v>
      </c>
      <c r="H583" s="1" t="s">
        <v>980</v>
      </c>
      <c r="I583" s="1" t="s">
        <v>2228</v>
      </c>
      <c r="J583" s="1" t="s">
        <v>1182</v>
      </c>
      <c r="K583" s="2">
        <v>41441</v>
      </c>
      <c r="L583" s="3" t="str">
        <f>_xlfn.XLOOKUP(A:A,Gemini建議!A:A,Gemini建議!B:B,"")</f>
        <v/>
      </c>
      <c r="M583" s="1"/>
      <c r="N583" s="1"/>
    </row>
    <row r="584" spans="1:14" ht="30" hidden="1" customHeight="1">
      <c r="A584" s="2" t="str">
        <f>表格2[[#This Row],[站名]]&amp;表格2[[#This Row],[城市]]</f>
        <v>關西 (撤銷站)新竹縣</v>
      </c>
      <c r="B584" s="1" t="s">
        <v>2229</v>
      </c>
      <c r="C584" s="1" t="s">
        <v>2230</v>
      </c>
      <c r="D584" s="1">
        <v>24.798200000000001</v>
      </c>
      <c r="E584" s="1">
        <v>121.1739</v>
      </c>
      <c r="F584" s="1" t="s">
        <v>2231</v>
      </c>
      <c r="G584" s="1" t="s">
        <v>2540</v>
      </c>
      <c r="H584" s="1" t="s">
        <v>307</v>
      </c>
      <c r="I584" s="1" t="s">
        <v>362</v>
      </c>
      <c r="J584" s="1" t="s">
        <v>2232</v>
      </c>
      <c r="K584" s="2">
        <v>39448</v>
      </c>
      <c r="L584" s="3" t="str">
        <f>_xlfn.XLOOKUP(A:A,Gemini建議!A:A,Gemini建議!B:B,"")</f>
        <v/>
      </c>
      <c r="M584" s="1"/>
      <c r="N584" s="1"/>
    </row>
    <row r="585" spans="1:14" ht="30" hidden="1" customHeight="1">
      <c r="A585" s="2" t="str">
        <f>表格2[[#This Row],[站名]]&amp;表格2[[#This Row],[城市]]</f>
        <v>澳底 (撤銷站)新北市</v>
      </c>
      <c r="B585" s="1" t="s">
        <v>2233</v>
      </c>
      <c r="C585" s="1" t="s">
        <v>2234</v>
      </c>
      <c r="D585" s="1">
        <v>25.057099999999998</v>
      </c>
      <c r="E585" s="1">
        <v>121.9273</v>
      </c>
      <c r="F585" s="1" t="s">
        <v>103</v>
      </c>
      <c r="G585" s="1" t="s">
        <v>2537</v>
      </c>
      <c r="H585" s="1" t="s">
        <v>12</v>
      </c>
      <c r="I585" s="1" t="s">
        <v>2235</v>
      </c>
      <c r="J585" s="1" t="s">
        <v>200</v>
      </c>
      <c r="K585" s="2">
        <v>44629</v>
      </c>
      <c r="L585" s="3" t="str">
        <f>_xlfn.XLOOKUP(A:A,Gemini建議!A:A,Gemini建議!B:B,"")</f>
        <v/>
      </c>
      <c r="M585" s="1"/>
      <c r="N585" s="1"/>
    </row>
    <row r="586" spans="1:14" ht="30" hidden="1" customHeight="1">
      <c r="A586" s="2" t="str">
        <f>表格2[[#This Row],[站名]]&amp;表格2[[#This Row],[城市]]</f>
        <v>大肚 (撤銷站)臺中市</v>
      </c>
      <c r="B586" s="1" t="s">
        <v>2236</v>
      </c>
      <c r="C586" s="1" t="s">
        <v>2237</v>
      </c>
      <c r="D586" s="1">
        <v>24.152999999999999</v>
      </c>
      <c r="E586" s="1">
        <v>120.57210000000001</v>
      </c>
      <c r="F586" s="1" t="s">
        <v>2238</v>
      </c>
      <c r="G586" s="1" t="s">
        <v>2542</v>
      </c>
      <c r="H586" s="1" t="s">
        <v>459</v>
      </c>
      <c r="I586" s="1" t="s">
        <v>2239</v>
      </c>
      <c r="J586" s="1" t="s">
        <v>2240</v>
      </c>
      <c r="K586" s="2">
        <v>40848</v>
      </c>
      <c r="L586" s="3" t="str">
        <f>_xlfn.XLOOKUP(A:A,Gemini建議!A:A,Gemini建議!B:B,"")</f>
        <v/>
      </c>
      <c r="M586" s="1"/>
      <c r="N586" s="1"/>
    </row>
    <row r="587" spans="1:14" ht="30" hidden="1" customHeight="1">
      <c r="A587" s="2" t="str">
        <f>表格2[[#This Row],[站名]]&amp;表格2[[#This Row],[城市]]</f>
        <v>大湖 (撤銷站)苗栗縣</v>
      </c>
      <c r="B587" s="1" t="s">
        <v>2241</v>
      </c>
      <c r="C587" s="1" t="s">
        <v>2242</v>
      </c>
      <c r="D587" s="1">
        <v>24.414899999999999</v>
      </c>
      <c r="E587" s="1">
        <v>120.87090000000001</v>
      </c>
      <c r="F587" s="1" t="s">
        <v>2243</v>
      </c>
      <c r="G587" s="1" t="s">
        <v>2541</v>
      </c>
      <c r="H587" s="1" t="s">
        <v>374</v>
      </c>
      <c r="I587" s="1" t="s">
        <v>2244</v>
      </c>
      <c r="J587" s="1" t="s">
        <v>2245</v>
      </c>
      <c r="K587" s="2">
        <v>40848</v>
      </c>
      <c r="L587" s="3" t="str">
        <f>_xlfn.XLOOKUP(A:A,Gemini建議!A:A,Gemini建議!B:B,"")</f>
        <v/>
      </c>
      <c r="M587" s="1"/>
      <c r="N587" s="1"/>
    </row>
    <row r="588" spans="1:14" ht="30" hidden="1" customHeight="1">
      <c r="A588" s="2" t="str">
        <f>表格2[[#This Row],[站名]]&amp;表格2[[#This Row],[城市]]</f>
        <v>後龍 (撤銷站)苗栗縣</v>
      </c>
      <c r="B588" s="1" t="s">
        <v>2246</v>
      </c>
      <c r="C588" s="1" t="s">
        <v>2247</v>
      </c>
      <c r="D588" s="1">
        <v>24.6065</v>
      </c>
      <c r="E588" s="1">
        <v>120.7839</v>
      </c>
      <c r="F588" s="1" t="s">
        <v>107</v>
      </c>
      <c r="G588" s="1" t="s">
        <v>2541</v>
      </c>
      <c r="H588" s="1" t="s">
        <v>374</v>
      </c>
      <c r="I588" s="1" t="s">
        <v>2248</v>
      </c>
      <c r="J588" s="1" t="s">
        <v>2249</v>
      </c>
      <c r="K588" s="2">
        <v>40848</v>
      </c>
      <c r="L588" s="3" t="str">
        <f>_xlfn.XLOOKUP(A:A,Gemini建議!A:A,Gemini建議!B:B,"")</f>
        <v/>
      </c>
      <c r="M588" s="1"/>
      <c r="N588" s="1"/>
    </row>
    <row r="589" spans="1:14" ht="30" hidden="1" customHeight="1">
      <c r="A589" s="2" t="str">
        <f>表格2[[#This Row],[站名]]&amp;表格2[[#This Row],[城市]]</f>
        <v>三義 (撤銷站)苗栗縣</v>
      </c>
      <c r="B589" s="1" t="s">
        <v>2160</v>
      </c>
      <c r="C589" s="1" t="s">
        <v>2250</v>
      </c>
      <c r="D589" s="1">
        <v>24.4055</v>
      </c>
      <c r="E589" s="1">
        <v>120.74979999999999</v>
      </c>
      <c r="F589" s="1" t="s">
        <v>1206</v>
      </c>
      <c r="G589" s="1" t="s">
        <v>2541</v>
      </c>
      <c r="H589" s="1" t="s">
        <v>374</v>
      </c>
      <c r="I589" s="1" t="s">
        <v>2251</v>
      </c>
      <c r="J589" s="1" t="s">
        <v>2252</v>
      </c>
      <c r="K589" s="2">
        <v>43837</v>
      </c>
      <c r="L589" s="3" t="str">
        <f>_xlfn.XLOOKUP(A:A,Gemini建議!A:A,Gemini建議!B:B,"")</f>
        <v/>
      </c>
      <c r="M589" s="1"/>
      <c r="N589" s="1"/>
    </row>
    <row r="590" spans="1:14" ht="30" hidden="1" customHeight="1">
      <c r="A590" s="2" t="str">
        <f>表格2[[#This Row],[站名]]&amp;表格2[[#This Row],[城市]]</f>
        <v>大甲 (撤銷站)臺中市</v>
      </c>
      <c r="B590" s="1" t="s">
        <v>2253</v>
      </c>
      <c r="C590" s="1" t="s">
        <v>2254</v>
      </c>
      <c r="D590" s="1">
        <v>24.3477</v>
      </c>
      <c r="E590" s="1">
        <v>120.6404</v>
      </c>
      <c r="F590" s="1" t="s">
        <v>2255</v>
      </c>
      <c r="G590" s="1" t="s">
        <v>2542</v>
      </c>
      <c r="H590" s="1" t="s">
        <v>459</v>
      </c>
      <c r="I590" s="1" t="s">
        <v>2256</v>
      </c>
      <c r="J590" s="1" t="s">
        <v>2257</v>
      </c>
      <c r="K590" s="2">
        <v>40848</v>
      </c>
      <c r="L590" s="3" t="str">
        <f>_xlfn.XLOOKUP(A:A,Gemini建議!A:A,Gemini建議!B:B,"")</f>
        <v/>
      </c>
      <c r="M590" s="1"/>
      <c r="N590" s="1"/>
    </row>
    <row r="591" spans="1:14" ht="30" hidden="1" customHeight="1">
      <c r="A591" s="2" t="str">
        <f>表格2[[#This Row],[站名]]&amp;表格2[[#This Row],[城市]]</f>
        <v>中竹林 (撤銷站)臺中市</v>
      </c>
      <c r="B591" s="1" t="s">
        <v>2258</v>
      </c>
      <c r="C591" s="1" t="s">
        <v>2259</v>
      </c>
      <c r="D591" s="1">
        <v>24.1036</v>
      </c>
      <c r="E591" s="1">
        <v>120.75109999999999</v>
      </c>
      <c r="F591" s="1" t="s">
        <v>2260</v>
      </c>
      <c r="G591" s="1" t="s">
        <v>2542</v>
      </c>
      <c r="H591" s="1" t="s">
        <v>459</v>
      </c>
      <c r="I591" s="1" t="s">
        <v>2261</v>
      </c>
      <c r="J591" s="1" t="s">
        <v>2262</v>
      </c>
      <c r="K591" s="2">
        <v>40848</v>
      </c>
      <c r="L591" s="3" t="str">
        <f>_xlfn.XLOOKUP(A:A,Gemini建議!A:A,Gemini建議!B:B,"")</f>
        <v/>
      </c>
      <c r="M591" s="1"/>
      <c r="N591" s="1"/>
    </row>
    <row r="592" spans="1:14" ht="30" hidden="1" customHeight="1">
      <c r="A592" s="2" t="str">
        <f>表格2[[#This Row],[站名]]&amp;表格2[[#This Row],[城市]]</f>
        <v>烏石坑 (撤銷站)臺中市</v>
      </c>
      <c r="B592" s="1" t="s">
        <v>2263</v>
      </c>
      <c r="C592" s="1" t="s">
        <v>2264</v>
      </c>
      <c r="D592" s="1">
        <v>24.273499999999999</v>
      </c>
      <c r="E592" s="1">
        <v>120.94759999999999</v>
      </c>
      <c r="F592" s="1" t="s">
        <v>467</v>
      </c>
      <c r="G592" s="1" t="s">
        <v>2542</v>
      </c>
      <c r="H592" s="1" t="s">
        <v>459</v>
      </c>
      <c r="I592" s="1" t="s">
        <v>2265</v>
      </c>
      <c r="J592" s="1" t="s">
        <v>2266</v>
      </c>
      <c r="K592" s="2">
        <v>44135</v>
      </c>
      <c r="L592" s="3" t="str">
        <f>_xlfn.XLOOKUP(A:A,Gemini建議!A:A,Gemini建議!B:B,"")</f>
        <v/>
      </c>
      <c r="M592" s="1"/>
      <c r="N592" s="1"/>
    </row>
    <row r="593" spans="1:14" ht="30" hidden="1" customHeight="1">
      <c r="A593" s="2" t="str">
        <f>表格2[[#This Row],[站名]]&amp;表格2[[#This Row],[城市]]</f>
        <v>鹿港 (撤銷站)彰化縣</v>
      </c>
      <c r="B593" s="1" t="s">
        <v>2267</v>
      </c>
      <c r="C593" s="1" t="s">
        <v>2268</v>
      </c>
      <c r="D593" s="1">
        <v>24.075299999999999</v>
      </c>
      <c r="E593" s="1">
        <v>120.43049999999999</v>
      </c>
      <c r="F593" s="1" t="s">
        <v>1056</v>
      </c>
      <c r="G593" s="1" t="s">
        <v>2543</v>
      </c>
      <c r="H593" s="1" t="s">
        <v>611</v>
      </c>
      <c r="I593" s="1" t="s">
        <v>2269</v>
      </c>
      <c r="J593" s="1" t="s">
        <v>2270</v>
      </c>
      <c r="K593" s="2">
        <v>33729</v>
      </c>
      <c r="L593" s="3" t="str">
        <f>_xlfn.XLOOKUP(A:A,Gemini建議!A:A,Gemini建議!B:B,"")</f>
        <v/>
      </c>
      <c r="M593" s="1"/>
      <c r="N593" s="1"/>
    </row>
    <row r="594" spans="1:14" ht="30" hidden="1" customHeight="1">
      <c r="A594" s="2" t="str">
        <f>表格2[[#This Row],[站名]]&amp;表格2[[#This Row],[城市]]</f>
        <v>北斗 (撤銷站)彰化縣</v>
      </c>
      <c r="B594" s="1" t="s">
        <v>2271</v>
      </c>
      <c r="C594" s="1" t="s">
        <v>2272</v>
      </c>
      <c r="D594" s="1">
        <v>23.877600000000001</v>
      </c>
      <c r="E594" s="1">
        <v>120.5142</v>
      </c>
      <c r="F594" s="1" t="s">
        <v>107</v>
      </c>
      <c r="G594" s="1" t="s">
        <v>2543</v>
      </c>
      <c r="H594" s="1" t="s">
        <v>611</v>
      </c>
      <c r="I594" s="1" t="s">
        <v>2273</v>
      </c>
      <c r="J594" s="1" t="s">
        <v>2274</v>
      </c>
      <c r="K594" s="2">
        <v>40634</v>
      </c>
      <c r="L594" s="3" t="str">
        <f>_xlfn.XLOOKUP(A:A,Gemini建議!A:A,Gemini建議!B:B,"")</f>
        <v/>
      </c>
      <c r="M594" s="1"/>
      <c r="N594" s="1"/>
    </row>
    <row r="595" spans="1:14" ht="30" hidden="1" customHeight="1">
      <c r="A595" s="2" t="str">
        <f>表格2[[#This Row],[站名]]&amp;表格2[[#This Row],[城市]]</f>
        <v>芳苑 (撤銷站)彰化縣</v>
      </c>
      <c r="B595" s="1" t="s">
        <v>2275</v>
      </c>
      <c r="C595" s="1" t="s">
        <v>2276</v>
      </c>
      <c r="D595" s="1">
        <v>23.9223</v>
      </c>
      <c r="E595" s="1">
        <v>120.32</v>
      </c>
      <c r="F595" s="1" t="s">
        <v>813</v>
      </c>
      <c r="G595" s="1" t="s">
        <v>2543</v>
      </c>
      <c r="H595" s="1" t="s">
        <v>611</v>
      </c>
      <c r="I595" s="1" t="s">
        <v>2277</v>
      </c>
      <c r="J595" s="1" t="s">
        <v>2278</v>
      </c>
      <c r="K595" s="2">
        <v>40743</v>
      </c>
      <c r="L595" s="3" t="str">
        <f>_xlfn.XLOOKUP(A:A,Gemini建議!A:A,Gemini建議!B:B,"")</f>
        <v/>
      </c>
      <c r="M595" s="1"/>
      <c r="N595" s="1"/>
    </row>
    <row r="596" spans="1:14" ht="30" hidden="1" customHeight="1">
      <c r="A596" s="2" t="str">
        <f>表格2[[#This Row],[站名]]&amp;表格2[[#This Row],[城市]]</f>
        <v>中寮 (撤銷站)南投縣</v>
      </c>
      <c r="B596" s="1" t="s">
        <v>2279</v>
      </c>
      <c r="C596" s="1" t="s">
        <v>2280</v>
      </c>
      <c r="D596" s="1">
        <v>23.884399999999999</v>
      </c>
      <c r="E596" s="1">
        <v>120.7664</v>
      </c>
      <c r="F596" s="1" t="s">
        <v>2281</v>
      </c>
      <c r="G596" s="1" t="s">
        <v>2544</v>
      </c>
      <c r="H596" s="1" t="s">
        <v>690</v>
      </c>
      <c r="I596" s="1" t="s">
        <v>2282</v>
      </c>
      <c r="J596" s="1" t="s">
        <v>2283</v>
      </c>
      <c r="K596" s="2">
        <v>40848</v>
      </c>
      <c r="L596" s="3" t="str">
        <f>_xlfn.XLOOKUP(A:A,Gemini建議!A:A,Gemini建議!B:B,"")</f>
        <v/>
      </c>
      <c r="M596" s="1"/>
      <c r="N596" s="1"/>
    </row>
    <row r="597" spans="1:14" ht="30" hidden="1" customHeight="1">
      <c r="A597" s="2" t="str">
        <f>表格2[[#This Row],[站名]]&amp;表格2[[#This Row],[城市]]</f>
        <v>鳳凰 (撤銷站)南投縣</v>
      </c>
      <c r="B597" s="1" t="s">
        <v>2284</v>
      </c>
      <c r="C597" s="1" t="s">
        <v>2285</v>
      </c>
      <c r="D597" s="1">
        <v>23.728100000000001</v>
      </c>
      <c r="E597" s="1">
        <v>120.7873</v>
      </c>
      <c r="F597" s="1" t="s">
        <v>2286</v>
      </c>
      <c r="G597" s="1" t="s">
        <v>2544</v>
      </c>
      <c r="H597" s="1" t="s">
        <v>690</v>
      </c>
      <c r="I597" s="1" t="s">
        <v>2287</v>
      </c>
      <c r="J597" s="1" t="s">
        <v>2288</v>
      </c>
      <c r="K597" s="2">
        <v>33729</v>
      </c>
      <c r="L597" s="3" t="str">
        <f>_xlfn.XLOOKUP(A:A,Gemini建議!A:A,Gemini建議!B:B,"")</f>
        <v/>
      </c>
      <c r="M597" s="1"/>
      <c r="N597" s="1"/>
    </row>
    <row r="598" spans="1:14" ht="30" hidden="1" customHeight="1">
      <c r="A598" s="2" t="str">
        <f>表格2[[#This Row],[站名]]&amp;表格2[[#This Row],[城市]]</f>
        <v>草嶺 (撤銷站)雲林縣</v>
      </c>
      <c r="B598" s="1" t="s">
        <v>2289</v>
      </c>
      <c r="C598" s="1" t="s">
        <v>2290</v>
      </c>
      <c r="D598" s="1">
        <v>23.595500000000001</v>
      </c>
      <c r="E598" s="1">
        <v>120.6935</v>
      </c>
      <c r="F598" s="1" t="s">
        <v>2291</v>
      </c>
      <c r="G598" s="1" t="s">
        <v>2545</v>
      </c>
      <c r="H598" s="1" t="s">
        <v>773</v>
      </c>
      <c r="I598" s="1" t="s">
        <v>2292</v>
      </c>
      <c r="J598" s="1" t="s">
        <v>2293</v>
      </c>
      <c r="K598" s="2">
        <v>33741</v>
      </c>
      <c r="L598" s="3" t="str">
        <f>_xlfn.XLOOKUP(A:A,Gemini建議!A:A,Gemini建議!B:B,"")</f>
        <v/>
      </c>
      <c r="M598" s="1"/>
      <c r="N598" s="1"/>
    </row>
    <row r="599" spans="1:14" ht="30" hidden="1" customHeight="1">
      <c r="A599" s="2" t="str">
        <f>表格2[[#This Row],[站名]]&amp;表格2[[#This Row],[城市]]</f>
        <v>馬頭山 (撤銷站)嘉義縣</v>
      </c>
      <c r="B599" s="1" t="s">
        <v>2294</v>
      </c>
      <c r="C599" s="1" t="s">
        <v>2295</v>
      </c>
      <c r="D599" s="1">
        <v>23.324400000000001</v>
      </c>
      <c r="E599" s="1">
        <v>120.58199999999999</v>
      </c>
      <c r="F599" s="1" t="s">
        <v>2296</v>
      </c>
      <c r="G599" s="1" t="s">
        <v>2547</v>
      </c>
      <c r="H599" s="1" t="s">
        <v>841</v>
      </c>
      <c r="I599" s="1" t="s">
        <v>2297</v>
      </c>
      <c r="J599" s="1" t="s">
        <v>2298</v>
      </c>
      <c r="K599" s="2">
        <v>32423</v>
      </c>
      <c r="L599" s="3" t="str">
        <f>_xlfn.XLOOKUP(A:A,Gemini建議!A:A,Gemini建議!B:B,"")</f>
        <v/>
      </c>
      <c r="M599" s="1"/>
      <c r="N599" s="1"/>
    </row>
    <row r="600" spans="1:14" ht="30" hidden="1" customHeight="1">
      <c r="A600" s="2" t="str">
        <f>表格2[[#This Row],[站名]]&amp;表格2[[#This Row],[城市]]</f>
        <v>曾文 (撤銷站)臺南市</v>
      </c>
      <c r="B600" s="1" t="s">
        <v>2299</v>
      </c>
      <c r="C600" s="1" t="s">
        <v>2300</v>
      </c>
      <c r="D600" s="1">
        <v>23.2197</v>
      </c>
      <c r="E600" s="1">
        <v>120.4973</v>
      </c>
      <c r="F600" s="1" t="s">
        <v>723</v>
      </c>
      <c r="G600" s="1" t="s">
        <v>2548</v>
      </c>
      <c r="H600" s="1" t="s">
        <v>926</v>
      </c>
      <c r="I600" s="1" t="s">
        <v>2301</v>
      </c>
      <c r="J600" s="1" t="s">
        <v>2302</v>
      </c>
      <c r="K600" s="2">
        <v>36076</v>
      </c>
      <c r="L600" s="3" t="str">
        <f>_xlfn.XLOOKUP(A:A,Gemini建議!A:A,Gemini建議!B:B,"")</f>
        <v/>
      </c>
      <c r="M600" s="1"/>
      <c r="N600" s="1"/>
    </row>
    <row r="601" spans="1:14" ht="30" hidden="1" customHeight="1">
      <c r="A601" s="2" t="str">
        <f>表格2[[#This Row],[站名]]&amp;表格2[[#This Row],[城市]]</f>
        <v>玉井 (撤銷站)臺南市</v>
      </c>
      <c r="B601" s="1" t="s">
        <v>2303</v>
      </c>
      <c r="C601" s="1" t="s">
        <v>2304</v>
      </c>
      <c r="D601" s="1">
        <v>23.126000000000001</v>
      </c>
      <c r="E601" s="1">
        <v>120.4605</v>
      </c>
      <c r="F601" s="1" t="s">
        <v>2305</v>
      </c>
      <c r="G601" s="1" t="s">
        <v>2548</v>
      </c>
      <c r="H601" s="1" t="s">
        <v>926</v>
      </c>
      <c r="I601" s="1" t="s">
        <v>2306</v>
      </c>
      <c r="J601" s="1" t="s">
        <v>2307</v>
      </c>
      <c r="K601" s="2">
        <v>32423</v>
      </c>
      <c r="L601" s="3" t="str">
        <f>_xlfn.XLOOKUP(A:A,Gemini建議!A:A,Gemini建議!B:B,"")</f>
        <v/>
      </c>
      <c r="M601" s="1"/>
      <c r="N601" s="1"/>
    </row>
    <row r="602" spans="1:14" ht="30" hidden="1" customHeight="1">
      <c r="A602" s="2" t="str">
        <f>表格2[[#This Row],[站名]]&amp;表格2[[#This Row],[城市]]</f>
        <v>安南 (撤銷站)臺南市</v>
      </c>
      <c r="B602" s="1" t="s">
        <v>2308</v>
      </c>
      <c r="C602" s="1" t="s">
        <v>2309</v>
      </c>
      <c r="D602" s="1">
        <v>23.076699999999999</v>
      </c>
      <c r="E602" s="1">
        <v>120.14490000000001</v>
      </c>
      <c r="F602" s="1" t="s">
        <v>2310</v>
      </c>
      <c r="G602" s="1" t="s">
        <v>2548</v>
      </c>
      <c r="H602" s="1" t="s">
        <v>926</v>
      </c>
      <c r="I602" s="1" t="s">
        <v>2311</v>
      </c>
      <c r="J602" s="1" t="s">
        <v>2312</v>
      </c>
      <c r="K602" s="2">
        <v>41487</v>
      </c>
      <c r="L602" s="3" t="str">
        <f>_xlfn.XLOOKUP(A:A,Gemini建議!A:A,Gemini建議!B:B,"")</f>
        <v/>
      </c>
      <c r="M602" s="1"/>
      <c r="N602" s="1"/>
    </row>
    <row r="603" spans="1:14" ht="30" hidden="1" customHeight="1">
      <c r="A603" s="2" t="str">
        <f>表格2[[#This Row],[站名]]&amp;表格2[[#This Row],[城市]]</f>
        <v>甲仙 (撤銷站)高雄市</v>
      </c>
      <c r="B603" s="1" t="s">
        <v>2313</v>
      </c>
      <c r="C603" s="1" t="s">
        <v>2314</v>
      </c>
      <c r="D603" s="1">
        <v>23.080100000000002</v>
      </c>
      <c r="E603" s="1">
        <v>120.59180000000001</v>
      </c>
      <c r="F603" s="1" t="s">
        <v>1858</v>
      </c>
      <c r="G603" s="1" t="s">
        <v>2549</v>
      </c>
      <c r="H603" s="1" t="s">
        <v>1598</v>
      </c>
      <c r="I603" s="1" t="s">
        <v>2315</v>
      </c>
      <c r="J603" s="1" t="s">
        <v>2316</v>
      </c>
      <c r="K603" s="2">
        <v>33624</v>
      </c>
      <c r="L603" s="3" t="str">
        <f>_xlfn.XLOOKUP(A:A,Gemini建議!A:A,Gemini建議!B:B,"")</f>
        <v/>
      </c>
      <c r="M603" s="1"/>
      <c r="N603" s="1"/>
    </row>
    <row r="604" spans="1:14" ht="30" hidden="1" customHeight="1">
      <c r="A604" s="2" t="str">
        <f>表格2[[#This Row],[站名]]&amp;表格2[[#This Row],[城市]]</f>
        <v>月眉 (撤銷站)高雄市</v>
      </c>
      <c r="B604" s="1" t="s">
        <v>2317</v>
      </c>
      <c r="C604" s="1" t="s">
        <v>2318</v>
      </c>
      <c r="D604" s="1">
        <v>22.971</v>
      </c>
      <c r="E604" s="1">
        <v>120.5399</v>
      </c>
      <c r="F604" s="1" t="s">
        <v>1891</v>
      </c>
      <c r="G604" s="1" t="s">
        <v>2549</v>
      </c>
      <c r="H604" s="1" t="s">
        <v>1598</v>
      </c>
      <c r="I604" s="1" t="s">
        <v>2319</v>
      </c>
      <c r="J604" s="1" t="s">
        <v>2320</v>
      </c>
      <c r="K604" s="2">
        <v>41487</v>
      </c>
      <c r="L604" s="3" t="str">
        <f>_xlfn.XLOOKUP(A:A,Gemini建議!A:A,Gemini建議!B:B,"")</f>
        <v/>
      </c>
      <c r="M604" s="1"/>
      <c r="N604" s="1"/>
    </row>
    <row r="605" spans="1:14" ht="30" hidden="1" customHeight="1">
      <c r="A605" s="2" t="str">
        <f>表格2[[#This Row],[站名]]&amp;表格2[[#This Row],[城市]]</f>
        <v>七股 (撤銷站)臺南市</v>
      </c>
      <c r="B605" s="1" t="s">
        <v>2321</v>
      </c>
      <c r="C605" s="1" t="s">
        <v>2322</v>
      </c>
      <c r="D605" s="1">
        <v>23.147300000000001</v>
      </c>
      <c r="E605" s="1">
        <v>120.08629999999999</v>
      </c>
      <c r="F605" s="1" t="s">
        <v>957</v>
      </c>
      <c r="G605" s="1" t="s">
        <v>2548</v>
      </c>
      <c r="H605" s="1" t="s">
        <v>926</v>
      </c>
      <c r="I605" s="1" t="s">
        <v>2323</v>
      </c>
      <c r="J605" s="1"/>
      <c r="K605" s="2">
        <v>42365</v>
      </c>
      <c r="L605" s="3" t="str">
        <f>_xlfn.XLOOKUP(A:A,Gemini建議!A:A,Gemini建議!B:B,"")</f>
        <v/>
      </c>
      <c r="M605" s="1"/>
      <c r="N605" s="1"/>
    </row>
    <row r="606" spans="1:14" ht="30" hidden="1" customHeight="1">
      <c r="A606" s="2" t="str">
        <f>表格2[[#This Row],[站名]]&amp;表格2[[#This Row],[城市]]</f>
        <v>瑞芳 (撤銷站)新北市</v>
      </c>
      <c r="B606" s="1" t="s">
        <v>2324</v>
      </c>
      <c r="C606" s="1" t="s">
        <v>2325</v>
      </c>
      <c r="D606" s="1">
        <v>25.113199999999999</v>
      </c>
      <c r="E606" s="1">
        <v>121.80110000000001</v>
      </c>
      <c r="F606" s="1" t="s">
        <v>342</v>
      </c>
      <c r="G606" s="1" t="s">
        <v>2537</v>
      </c>
      <c r="H606" s="1" t="s">
        <v>12</v>
      </c>
      <c r="I606" s="1" t="s">
        <v>2326</v>
      </c>
      <c r="J606" s="1" t="s">
        <v>2327</v>
      </c>
      <c r="K606" s="2">
        <v>40148</v>
      </c>
      <c r="L606" s="3" t="str">
        <f>_xlfn.XLOOKUP(A:A,Gemini建議!A:A,Gemini建議!B:B,"")</f>
        <v/>
      </c>
      <c r="M606" s="1"/>
      <c r="N606" s="1"/>
    </row>
    <row r="607" spans="1:14" ht="30" hidden="1" customHeight="1">
      <c r="A607" s="2" t="str">
        <f>表格2[[#This Row],[站名]]&amp;表格2[[#This Row],[城市]]</f>
        <v>福隆 (撤銷站)新北市</v>
      </c>
      <c r="B607" s="1" t="s">
        <v>2328</v>
      </c>
      <c r="C607" s="1" t="s">
        <v>2329</v>
      </c>
      <c r="D607" s="1">
        <v>25.017800000000001</v>
      </c>
      <c r="E607" s="1">
        <v>121.9421</v>
      </c>
      <c r="F607" s="1" t="s">
        <v>1718</v>
      </c>
      <c r="G607" s="1" t="s">
        <v>2537</v>
      </c>
      <c r="H607" s="1" t="s">
        <v>12</v>
      </c>
      <c r="I607" s="1" t="s">
        <v>2330</v>
      </c>
      <c r="J607" s="1" t="s">
        <v>2331</v>
      </c>
      <c r="K607" s="2">
        <v>34150</v>
      </c>
      <c r="L607" s="3" t="str">
        <f>_xlfn.XLOOKUP(A:A,Gemini建議!A:A,Gemini建議!B:B,"")</f>
        <v/>
      </c>
      <c r="M607" s="1"/>
      <c r="N607" s="1"/>
    </row>
    <row r="608" spans="1:14" ht="30" hidden="1" customHeight="1">
      <c r="A608" s="2" t="str">
        <f>表格2[[#This Row],[站名]]&amp;表格2[[#This Row],[城市]]</f>
        <v>富貴角 (撤銷站)新北市</v>
      </c>
      <c r="B608" s="1" t="s">
        <v>2332</v>
      </c>
      <c r="C608" s="1" t="s">
        <v>2333</v>
      </c>
      <c r="D608" s="1">
        <v>25.2638</v>
      </c>
      <c r="E608" s="1">
        <v>121.56529999999999</v>
      </c>
      <c r="F608" s="1" t="s">
        <v>2334</v>
      </c>
      <c r="G608" s="1" t="s">
        <v>2537</v>
      </c>
      <c r="H608" s="1" t="s">
        <v>12</v>
      </c>
      <c r="I608" s="1" t="s">
        <v>2335</v>
      </c>
      <c r="J608" s="1" t="s">
        <v>2336</v>
      </c>
      <c r="K608" s="2">
        <v>34626</v>
      </c>
      <c r="L608" s="3" t="str">
        <f>_xlfn.XLOOKUP(A:A,Gemini建議!A:A,Gemini建議!B:B,"")</f>
        <v/>
      </c>
      <c r="M608" s="1"/>
      <c r="N608" s="1"/>
    </row>
    <row r="609" spans="1:14" ht="30" hidden="1" customHeight="1">
      <c r="A609" s="2" t="str">
        <f>表格2[[#This Row],[站名]]&amp;表格2[[#This Row],[城市]]</f>
        <v>火燒寮 (撤銷站)新北市</v>
      </c>
      <c r="B609" s="1" t="s">
        <v>2337</v>
      </c>
      <c r="C609" s="1" t="s">
        <v>2338</v>
      </c>
      <c r="D609" s="1">
        <v>25.002700000000001</v>
      </c>
      <c r="E609" s="1">
        <v>121.74290000000001</v>
      </c>
      <c r="F609" s="1" t="s">
        <v>2339</v>
      </c>
      <c r="G609" s="1" t="s">
        <v>2537</v>
      </c>
      <c r="H609" s="1" t="s">
        <v>12</v>
      </c>
      <c r="I609" s="1" t="s">
        <v>2340</v>
      </c>
      <c r="J609" s="1" t="s">
        <v>2341</v>
      </c>
      <c r="K609" s="2">
        <v>40148</v>
      </c>
      <c r="L609" s="3" t="str">
        <f>_xlfn.XLOOKUP(A:A,Gemini建議!A:A,Gemini建議!B:B,"")</f>
        <v/>
      </c>
      <c r="M609" s="1"/>
      <c r="N609" s="1"/>
    </row>
    <row r="610" spans="1:14" ht="30" hidden="1" customHeight="1">
      <c r="A610" s="2" t="str">
        <f>表格2[[#This Row],[站名]]&amp;表格2[[#This Row],[城市]]</f>
        <v>四堵 (撤銷站)新北市</v>
      </c>
      <c r="B610" s="1" t="s">
        <v>2342</v>
      </c>
      <c r="C610" s="1" t="s">
        <v>2343</v>
      </c>
      <c r="D610" s="1">
        <v>24.892600000000002</v>
      </c>
      <c r="E610" s="1">
        <v>121.7457</v>
      </c>
      <c r="F610" s="1" t="s">
        <v>2344</v>
      </c>
      <c r="G610" s="1" t="s">
        <v>2537</v>
      </c>
      <c r="H610" s="1" t="s">
        <v>12</v>
      </c>
      <c r="I610" s="1" t="s">
        <v>2345</v>
      </c>
      <c r="J610" s="1" t="s">
        <v>2346</v>
      </c>
      <c r="K610" s="2">
        <v>31898</v>
      </c>
      <c r="L610" s="3" t="str">
        <f>_xlfn.XLOOKUP(A:A,Gemini建議!A:A,Gemini建議!B:B,"")</f>
        <v/>
      </c>
      <c r="M610" s="1"/>
      <c r="N610" s="1"/>
    </row>
    <row r="611" spans="1:14" ht="30" hidden="1" customHeight="1">
      <c r="A611" s="2" t="str">
        <f>表格2[[#This Row],[站名]]&amp;表格2[[#This Row],[城市]]</f>
        <v>福山 (撤銷站)新北市</v>
      </c>
      <c r="B611" s="1" t="s">
        <v>2347</v>
      </c>
      <c r="C611" s="1" t="s">
        <v>2348</v>
      </c>
      <c r="D611" s="1">
        <v>24.776199999999999</v>
      </c>
      <c r="E611" s="1">
        <v>121.50279999999999</v>
      </c>
      <c r="F611" s="1" t="s">
        <v>2349</v>
      </c>
      <c r="G611" s="1" t="s">
        <v>2537</v>
      </c>
      <c r="H611" s="1" t="s">
        <v>12</v>
      </c>
      <c r="I611" s="1" t="s">
        <v>2350</v>
      </c>
      <c r="J611" s="1" t="s">
        <v>2351</v>
      </c>
      <c r="K611" s="2">
        <v>31898</v>
      </c>
      <c r="L611" s="3" t="str">
        <f>_xlfn.XLOOKUP(A:A,Gemini建議!A:A,Gemini建議!B:B,"")</f>
        <v/>
      </c>
      <c r="M611" s="1"/>
      <c r="N611" s="1"/>
    </row>
    <row r="612" spans="1:14" ht="30" hidden="1" customHeight="1">
      <c r="A612" s="2" t="str">
        <f>表格2[[#This Row],[站名]]&amp;表格2[[#This Row],[城市]]</f>
        <v>梨山 (撤銷站)臺中市</v>
      </c>
      <c r="B612" s="1" t="s">
        <v>1947</v>
      </c>
      <c r="C612" s="1" t="s">
        <v>2352</v>
      </c>
      <c r="D612" s="1">
        <v>24.247499999999999</v>
      </c>
      <c r="E612" s="1">
        <v>121.2437</v>
      </c>
      <c r="F612" s="1" t="s">
        <v>2353</v>
      </c>
      <c r="G612" s="1" t="s">
        <v>2542</v>
      </c>
      <c r="H612" s="1" t="s">
        <v>459</v>
      </c>
      <c r="I612" s="1" t="s">
        <v>2354</v>
      </c>
      <c r="J612" s="1" t="s">
        <v>2355</v>
      </c>
      <c r="K612" s="2">
        <v>38169</v>
      </c>
      <c r="L612" s="3" t="str">
        <f>_xlfn.XLOOKUP(A:A,Gemini建議!A:A,Gemini建議!B:B,"")</f>
        <v/>
      </c>
      <c r="M612" s="1"/>
      <c r="N612" s="1"/>
    </row>
    <row r="613" spans="1:14" ht="30" hidden="1" customHeight="1">
      <c r="A613" s="2" t="str">
        <f>表格2[[#This Row],[站名]]&amp;表格2[[#This Row],[城市]]</f>
        <v>三芝 (撤銷站)新北市</v>
      </c>
      <c r="B613" s="1" t="s">
        <v>2356</v>
      </c>
      <c r="C613" s="1" t="s">
        <v>2357</v>
      </c>
      <c r="D613" s="1">
        <v>25.258099999999999</v>
      </c>
      <c r="E613" s="1">
        <v>121.50190000000001</v>
      </c>
      <c r="F613" s="1" t="s">
        <v>216</v>
      </c>
      <c r="G613" s="1" t="s">
        <v>2537</v>
      </c>
      <c r="H613" s="1" t="s">
        <v>12</v>
      </c>
      <c r="I613" s="1" t="s">
        <v>2358</v>
      </c>
      <c r="J613" s="1" t="s">
        <v>2359</v>
      </c>
      <c r="K613" s="2">
        <v>40050</v>
      </c>
      <c r="L613" s="3" t="str">
        <f>_xlfn.XLOOKUP(A:A,Gemini建議!A:A,Gemini建議!B:B,"")</f>
        <v/>
      </c>
      <c r="M613" s="1"/>
      <c r="N613" s="1"/>
    </row>
    <row r="614" spans="1:14" ht="30" hidden="1" customHeight="1">
      <c r="A614" s="2" t="str">
        <f>表格2[[#This Row],[站名]]&amp;表格2[[#This Row],[城市]]</f>
        <v>屏東 (撤銷站)屏東縣</v>
      </c>
      <c r="B614" s="1" t="s">
        <v>2360</v>
      </c>
      <c r="C614" s="1" t="s">
        <v>2361</v>
      </c>
      <c r="D614" s="1">
        <v>22.660299999999999</v>
      </c>
      <c r="E614" s="1">
        <v>120.4941</v>
      </c>
      <c r="F614" s="1" t="s">
        <v>162</v>
      </c>
      <c r="G614" s="1" t="s">
        <v>2550</v>
      </c>
      <c r="H614" s="1" t="s">
        <v>980</v>
      </c>
      <c r="I614" s="1" t="s">
        <v>2362</v>
      </c>
      <c r="J614" s="1" t="s">
        <v>2363</v>
      </c>
      <c r="K614" s="2">
        <v>41609</v>
      </c>
      <c r="L614" s="3" t="str">
        <f>_xlfn.XLOOKUP(A:A,Gemini建議!A:A,Gemini建議!B:B,"")</f>
        <v/>
      </c>
      <c r="M614" s="1"/>
      <c r="N614" s="1"/>
    </row>
    <row r="615" spans="1:14" ht="30" hidden="1" customHeight="1">
      <c r="A615" s="2" t="str">
        <f>表格2[[#This Row],[站名]]&amp;表格2[[#This Row],[城市]]</f>
        <v>美濃 (撤銷站)高雄市</v>
      </c>
      <c r="B615" s="1" t="s">
        <v>2364</v>
      </c>
      <c r="C615" s="1" t="s">
        <v>2365</v>
      </c>
      <c r="D615" s="1">
        <v>22.898700000000002</v>
      </c>
      <c r="E615" s="1">
        <v>120.5192</v>
      </c>
      <c r="F615" s="1" t="s">
        <v>2209</v>
      </c>
      <c r="G615" s="1" t="s">
        <v>2549</v>
      </c>
      <c r="H615" s="1" t="s">
        <v>1598</v>
      </c>
      <c r="I615" s="1" t="s">
        <v>2366</v>
      </c>
      <c r="J615" s="1" t="s">
        <v>2367</v>
      </c>
      <c r="K615" s="2">
        <v>33625</v>
      </c>
      <c r="L615" s="3" t="str">
        <f>_xlfn.XLOOKUP(A:A,Gemini建議!A:A,Gemini建議!B:B,"")</f>
        <v/>
      </c>
      <c r="M615" s="1"/>
      <c r="N615" s="1"/>
    </row>
    <row r="616" spans="1:14" ht="30" hidden="1" customHeight="1">
      <c r="A616" s="2" t="str">
        <f>表格2[[#This Row],[站名]]&amp;表格2[[#This Row],[城市]]</f>
        <v>獅子 (撤銷站)屏東縣</v>
      </c>
      <c r="B616" s="1" t="s">
        <v>2368</v>
      </c>
      <c r="C616" s="1" t="s">
        <v>2369</v>
      </c>
      <c r="D616" s="1">
        <v>22.201599999999999</v>
      </c>
      <c r="E616" s="1">
        <v>120.70529999999999</v>
      </c>
      <c r="F616" s="1" t="s">
        <v>565</v>
      </c>
      <c r="G616" s="1" t="s">
        <v>2550</v>
      </c>
      <c r="H616" s="1" t="s">
        <v>980</v>
      </c>
      <c r="I616" s="1" t="s">
        <v>2370</v>
      </c>
      <c r="J616" s="1" t="s">
        <v>1117</v>
      </c>
      <c r="K616" s="2">
        <v>43930</v>
      </c>
      <c r="L616" s="3" t="str">
        <f>_xlfn.XLOOKUP(A:A,Gemini建議!A:A,Gemini建議!B:B,"")</f>
        <v/>
      </c>
      <c r="M616" s="1"/>
      <c r="N616" s="1"/>
    </row>
    <row r="617" spans="1:14" ht="30" hidden="1" customHeight="1">
      <c r="A617" s="2" t="str">
        <f>表格2[[#This Row],[站名]]&amp;表格2[[#This Row],[城市]]</f>
        <v>來義 (撤銷站)屏東縣</v>
      </c>
      <c r="B617" s="1" t="s">
        <v>2371</v>
      </c>
      <c r="C617" s="1" t="s">
        <v>2372</v>
      </c>
      <c r="D617" s="1">
        <v>22.5273</v>
      </c>
      <c r="E617" s="1">
        <v>120.6251</v>
      </c>
      <c r="F617" s="1" t="s">
        <v>311</v>
      </c>
      <c r="G617" s="1" t="s">
        <v>2550</v>
      </c>
      <c r="H617" s="1" t="s">
        <v>980</v>
      </c>
      <c r="I617" s="1" t="s">
        <v>2373</v>
      </c>
      <c r="J617" s="1" t="s">
        <v>2374</v>
      </c>
      <c r="K617" s="2">
        <v>41609</v>
      </c>
      <c r="L617" s="3" t="str">
        <f>_xlfn.XLOOKUP(A:A,Gemini建議!A:A,Gemini建議!B:B,"")</f>
        <v/>
      </c>
      <c r="M617" s="1"/>
      <c r="N617" s="1"/>
    </row>
    <row r="618" spans="1:14" ht="30" hidden="1" customHeight="1">
      <c r="A618" s="2" t="str">
        <f>表格2[[#This Row],[站名]]&amp;表格2[[#This Row],[城市]]</f>
        <v>下營 (撤銷站)臺南市</v>
      </c>
      <c r="B618" s="1" t="s">
        <v>2375</v>
      </c>
      <c r="C618" s="1" t="s">
        <v>2376</v>
      </c>
      <c r="D618" s="1">
        <v>23.226900000000001</v>
      </c>
      <c r="E618" s="1">
        <v>120.2563</v>
      </c>
      <c r="F618" s="1" t="s">
        <v>252</v>
      </c>
      <c r="G618" s="1" t="s">
        <v>2548</v>
      </c>
      <c r="H618" s="1" t="s">
        <v>926</v>
      </c>
      <c r="I618" s="1" t="s">
        <v>2377</v>
      </c>
      <c r="J618" s="1" t="s">
        <v>2378</v>
      </c>
      <c r="K618" s="2">
        <v>42186</v>
      </c>
      <c r="L618" s="3" t="str">
        <f>_xlfn.XLOOKUP(A:A,Gemini建議!A:A,Gemini建議!B:B,"")</f>
        <v/>
      </c>
      <c r="M618" s="1"/>
      <c r="N618" s="1"/>
    </row>
    <row r="619" spans="1:14" ht="30" hidden="1" customHeight="1">
      <c r="A619" s="2" t="str">
        <f>表格2[[#This Row],[站名]]&amp;表格2[[#This Row],[城市]]</f>
        <v>崙背 (撤銷站)雲林縣</v>
      </c>
      <c r="B619" s="1" t="s">
        <v>2379</v>
      </c>
      <c r="C619" s="1" t="s">
        <v>2380</v>
      </c>
      <c r="D619" s="1">
        <v>23.755500000000001</v>
      </c>
      <c r="E619" s="1">
        <v>120.3189</v>
      </c>
      <c r="F619" s="1" t="s">
        <v>813</v>
      </c>
      <c r="G619" s="1" t="s">
        <v>2545</v>
      </c>
      <c r="H619" s="1" t="s">
        <v>773</v>
      </c>
      <c r="I619" s="1" t="s">
        <v>2381</v>
      </c>
      <c r="J619" s="1" t="s">
        <v>2382</v>
      </c>
      <c r="K619" s="2">
        <v>42163</v>
      </c>
      <c r="L619" s="3" t="str">
        <f>_xlfn.XLOOKUP(A:A,Gemini建議!A:A,Gemini建議!B:B,"")</f>
        <v/>
      </c>
      <c r="M619" s="1"/>
      <c r="N619" s="1"/>
    </row>
    <row r="620" spans="1:14" ht="30" hidden="1" customHeight="1">
      <c r="A620" s="2" t="str">
        <f>表格2[[#This Row],[站名]]&amp;表格2[[#This Row],[城市]]</f>
        <v>四湖 (撤銷站)雲林縣</v>
      </c>
      <c r="B620" s="1" t="s">
        <v>2383</v>
      </c>
      <c r="C620" s="1" t="s">
        <v>2384</v>
      </c>
      <c r="D620" s="1">
        <v>23.630400000000002</v>
      </c>
      <c r="E620" s="1">
        <v>120.22709999999999</v>
      </c>
      <c r="F620" s="1" t="s">
        <v>198</v>
      </c>
      <c r="G620" s="1" t="s">
        <v>2545</v>
      </c>
      <c r="H620" s="1" t="s">
        <v>773</v>
      </c>
      <c r="I620" s="1" t="s">
        <v>2385</v>
      </c>
      <c r="J620" s="1" t="s">
        <v>2386</v>
      </c>
      <c r="K620" s="2">
        <v>33943</v>
      </c>
      <c r="L620" s="4" t="str">
        <f>_xlfn.XLOOKUP(A:A,Gemini建議!A:A,Gemini建議!B:B,"")</f>
        <v/>
      </c>
      <c r="M620" s="1"/>
      <c r="N620" s="1"/>
    </row>
  </sheetData>
  <phoneticPr fontId="3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B712-CF17-4321-BF8D-E3AFC7FB6751}">
  <sheetPr>
    <tabColor theme="3" tint="0.89999084444715716"/>
  </sheetPr>
  <dimension ref="A1:H105"/>
  <sheetViews>
    <sheetView topLeftCell="A56" workbookViewId="0">
      <selection activeCell="C2" sqref="C2:C105"/>
    </sheetView>
  </sheetViews>
  <sheetFormatPr defaultRowHeight="16.149999999999999"/>
  <cols>
    <col min="1" max="1" width="17.73046875" bestFit="1" customWidth="1"/>
    <col min="2" max="2" width="13.796875" bestFit="1" customWidth="1"/>
    <col min="4" max="4" width="12" bestFit="1" customWidth="1"/>
    <col min="5" max="5" width="9.53125" bestFit="1" customWidth="1"/>
  </cols>
  <sheetData>
    <row r="1" spans="1:8">
      <c r="A1" s="11" t="s">
        <v>2488</v>
      </c>
      <c r="B1" s="7" t="s">
        <v>2426</v>
      </c>
      <c r="C1" s="7" t="s">
        <v>2425</v>
      </c>
      <c r="D1" s="7" t="s">
        <v>2424</v>
      </c>
      <c r="E1" s="17" t="s">
        <v>2563</v>
      </c>
      <c r="G1" t="s">
        <v>2527</v>
      </c>
    </row>
    <row r="2" spans="1:8">
      <c r="A2" s="8" t="str">
        <f>表格3[[#This Row],[站名]]&amp;表格3[[#This Row],[城市]]</f>
        <v>埔里南投縣</v>
      </c>
      <c r="B2" s="7" t="s">
        <v>2427</v>
      </c>
      <c r="C2" s="7" t="s">
        <v>2391</v>
      </c>
      <c r="D2" s="7" t="s">
        <v>2415</v>
      </c>
      <c r="E2" s="7">
        <v>440</v>
      </c>
      <c r="G2">
        <f>ROW()-1</f>
        <v>1</v>
      </c>
      <c r="H2" t="s">
        <v>2528</v>
      </c>
    </row>
    <row r="3" spans="1:8">
      <c r="A3" s="8" t="str">
        <f>表格3[[#This Row],[站名]]&amp;表格3[[#This Row],[城市]]</f>
        <v>嘉義市東區嘉義市</v>
      </c>
      <c r="B3" s="7" t="s">
        <v>2427</v>
      </c>
      <c r="C3" s="7" t="s">
        <v>2402</v>
      </c>
      <c r="D3" s="7" t="s">
        <v>2428</v>
      </c>
      <c r="E3" s="7">
        <v>40</v>
      </c>
      <c r="G3">
        <f t="shared" ref="G3:G4" si="0">ROW()-1</f>
        <v>2</v>
      </c>
      <c r="H3" t="s">
        <v>2529</v>
      </c>
    </row>
    <row r="4" spans="1:8">
      <c r="A4" s="8" t="str">
        <f>表格3[[#This Row],[站名]]&amp;表格3[[#This Row],[城市]]</f>
        <v>民雄嘉義縣</v>
      </c>
      <c r="B4" s="7" t="s">
        <v>2427</v>
      </c>
      <c r="C4" s="7" t="s">
        <v>2403</v>
      </c>
      <c r="D4" s="7" t="s">
        <v>2417</v>
      </c>
      <c r="E4" s="7">
        <v>40</v>
      </c>
      <c r="G4">
        <f t="shared" si="0"/>
        <v>3</v>
      </c>
      <c r="H4" t="s">
        <v>2530</v>
      </c>
    </row>
    <row r="5" spans="1:8">
      <c r="A5" s="8" t="str">
        <f>表格3[[#This Row],[站名]]&amp;表格3[[#This Row],[城市]]</f>
        <v>七堵基隆市</v>
      </c>
      <c r="B5" s="7" t="s">
        <v>2427</v>
      </c>
      <c r="C5" s="7" t="s">
        <v>2396</v>
      </c>
      <c r="D5" s="7" t="s">
        <v>2429</v>
      </c>
      <c r="E5" s="7">
        <v>38</v>
      </c>
      <c r="G5">
        <v>4</v>
      </c>
      <c r="H5" t="s">
        <v>2564</v>
      </c>
    </row>
    <row r="6" spans="1:8">
      <c r="A6" s="8" t="str">
        <f>表格3[[#This Row],[站名]]&amp;表格3[[#This Row],[城市]]</f>
        <v>羅東宜蘭縣</v>
      </c>
      <c r="B6" s="7" t="s">
        <v>2427</v>
      </c>
      <c r="C6" s="7" t="s">
        <v>2388</v>
      </c>
      <c r="D6" s="7" t="s">
        <v>2430</v>
      </c>
      <c r="E6" s="7">
        <v>25</v>
      </c>
    </row>
    <row r="7" spans="1:8">
      <c r="A7" s="8" t="str">
        <f>表格3[[#This Row],[站名]]&amp;表格3[[#This Row],[城市]]</f>
        <v>里港屏東縣</v>
      </c>
      <c r="B7" s="7" t="s">
        <v>2427</v>
      </c>
      <c r="C7" s="7" t="s">
        <v>2392</v>
      </c>
      <c r="D7" s="7" t="s">
        <v>2420</v>
      </c>
      <c r="E7" s="7">
        <v>72</v>
      </c>
    </row>
    <row r="8" spans="1:8">
      <c r="A8" s="8" t="str">
        <f>表格3[[#This Row],[站名]]&amp;表格3[[#This Row],[城市]]</f>
        <v>溪州彰化縣</v>
      </c>
      <c r="B8" s="7" t="s">
        <v>2427</v>
      </c>
      <c r="C8" s="7" t="s">
        <v>2404</v>
      </c>
      <c r="D8" s="7" t="s">
        <v>2414</v>
      </c>
      <c r="E8" s="7">
        <v>50</v>
      </c>
    </row>
    <row r="9" spans="1:8">
      <c r="A9" s="8" t="str">
        <f>表格3[[#This Row],[站名]]&amp;表格3[[#This Row],[城市]]</f>
        <v>三峽新北市</v>
      </c>
      <c r="B9" s="7" t="s">
        <v>2427</v>
      </c>
      <c r="C9" s="7" t="s">
        <v>2399</v>
      </c>
      <c r="D9" s="7" t="s">
        <v>2411</v>
      </c>
      <c r="E9" s="7">
        <v>55</v>
      </c>
    </row>
    <row r="10" spans="1:8">
      <c r="A10" s="8" t="str">
        <f>表格3[[#This Row],[站名]]&amp;表格3[[#This Row],[城市]]</f>
        <v>新竹市東區新竹市</v>
      </c>
      <c r="B10" s="7" t="s">
        <v>2427</v>
      </c>
      <c r="C10" s="7" t="s">
        <v>2400</v>
      </c>
      <c r="D10" s="7" t="s">
        <v>2431</v>
      </c>
      <c r="E10" s="7">
        <v>65</v>
      </c>
    </row>
    <row r="11" spans="1:8">
      <c r="A11" s="8" t="str">
        <f>表格3[[#This Row],[站名]]&amp;表格3[[#This Row],[城市]]</f>
        <v>湖口新竹縣</v>
      </c>
      <c r="B11" s="7" t="s">
        <v>2427</v>
      </c>
      <c r="C11" s="7" t="s">
        <v>2401</v>
      </c>
      <c r="D11" s="7" t="s">
        <v>2412</v>
      </c>
      <c r="E11" s="7">
        <v>97</v>
      </c>
    </row>
    <row r="12" spans="1:8">
      <c r="A12" s="8" t="str">
        <f>表格3[[#This Row],[站名]]&amp;表格3[[#This Row],[城市]]</f>
        <v>大溪桃園市</v>
      </c>
      <c r="B12" s="7" t="s">
        <v>2427</v>
      </c>
      <c r="C12" s="7" t="s">
        <v>2394</v>
      </c>
      <c r="D12" s="7" t="s">
        <v>2432</v>
      </c>
      <c r="E12" s="7">
        <v>209</v>
      </c>
    </row>
    <row r="13" spans="1:8">
      <c r="A13" s="8" t="str">
        <f>表格3[[#This Row],[站名]]&amp;表格3[[#This Row],[城市]]</f>
        <v>花嶼澎湖縣</v>
      </c>
      <c r="B13" s="7" t="s">
        <v>2427</v>
      </c>
      <c r="C13" s="7" t="s">
        <v>2409</v>
      </c>
      <c r="D13" s="7" t="s">
        <v>2519</v>
      </c>
      <c r="E13" s="7">
        <v>18</v>
      </c>
    </row>
    <row r="14" spans="1:8">
      <c r="A14" s="8" t="str">
        <f>表格3[[#This Row],[站名]]&amp;表格3[[#This Row],[城市]]</f>
        <v>東勢臺中市</v>
      </c>
      <c r="B14" s="7" t="s">
        <v>2427</v>
      </c>
      <c r="C14" s="7" t="s">
        <v>2405</v>
      </c>
      <c r="D14" s="7" t="s">
        <v>2433</v>
      </c>
      <c r="E14" s="7">
        <v>379</v>
      </c>
    </row>
    <row r="15" spans="1:8">
      <c r="A15" s="8" t="str">
        <f>表格3[[#This Row],[站名]]&amp;表格3[[#This Row],[城市]]</f>
        <v>社子臺北市</v>
      </c>
      <c r="B15" s="7" t="s">
        <v>2427</v>
      </c>
      <c r="C15" s="7" t="s">
        <v>2406</v>
      </c>
      <c r="D15" s="7" t="s">
        <v>2434</v>
      </c>
      <c r="E15" s="7">
        <v>11</v>
      </c>
    </row>
    <row r="16" spans="1:8">
      <c r="A16" s="8" t="str">
        <f>表格3[[#This Row],[站名]]&amp;表格3[[#This Row],[城市]]</f>
        <v>善化臺南市</v>
      </c>
      <c r="B16" s="7" t="s">
        <v>2427</v>
      </c>
      <c r="C16" s="7" t="s">
        <v>2408</v>
      </c>
      <c r="D16" s="7" t="s">
        <v>2418</v>
      </c>
      <c r="E16" s="7">
        <v>9</v>
      </c>
    </row>
    <row r="17" spans="1:5">
      <c r="A17" s="8" t="str">
        <f>表格3[[#This Row],[站名]]&amp;表格3[[#This Row],[城市]]</f>
        <v>關山臺東縣</v>
      </c>
      <c r="B17" s="7" t="s">
        <v>2427</v>
      </c>
      <c r="C17" s="7" t="s">
        <v>2407</v>
      </c>
      <c r="D17" s="7" t="s">
        <v>2422</v>
      </c>
      <c r="E17" s="7">
        <v>238</v>
      </c>
    </row>
    <row r="18" spans="1:5">
      <c r="A18" s="8" t="str">
        <f>表格3[[#This Row],[站名]]&amp;表格3[[#This Row],[城市]]</f>
        <v>玉里花蓮縣</v>
      </c>
      <c r="B18" s="7" t="s">
        <v>2427</v>
      </c>
      <c r="C18" s="7" t="s">
        <v>2389</v>
      </c>
      <c r="D18" s="7" t="s">
        <v>2421</v>
      </c>
      <c r="E18" s="7">
        <v>174</v>
      </c>
    </row>
    <row r="19" spans="1:5">
      <c r="A19" s="8" t="str">
        <f>表格3[[#This Row],[站名]]&amp;表格3[[#This Row],[城市]]</f>
        <v>苗栗苗栗縣</v>
      </c>
      <c r="B19" s="7" t="s">
        <v>2427</v>
      </c>
      <c r="C19" s="7" t="s">
        <v>2393</v>
      </c>
      <c r="D19" s="7" t="s">
        <v>2413</v>
      </c>
      <c r="E19" s="7">
        <v>62</v>
      </c>
    </row>
    <row r="20" spans="1:5">
      <c r="A20" s="8" t="str">
        <f>表格3[[#This Row],[站名]]&amp;表格3[[#This Row],[城市]]</f>
        <v>東莒連江縣</v>
      </c>
      <c r="B20" s="7" t="s">
        <v>2427</v>
      </c>
      <c r="C20" s="7" t="s">
        <v>2397</v>
      </c>
      <c r="D20" s="7" t="s">
        <v>2520</v>
      </c>
      <c r="E20" s="7">
        <v>16</v>
      </c>
    </row>
    <row r="21" spans="1:5">
      <c r="A21" s="8" t="str">
        <f>表格3[[#This Row],[站名]]&amp;表格3[[#This Row],[城市]]</f>
        <v>金寧金門縣</v>
      </c>
      <c r="B21" s="7" t="s">
        <v>2427</v>
      </c>
      <c r="C21" s="7" t="s">
        <v>2390</v>
      </c>
      <c r="D21" s="7" t="s">
        <v>2435</v>
      </c>
      <c r="E21" s="7">
        <v>42</v>
      </c>
    </row>
    <row r="22" spans="1:5">
      <c r="A22" s="8" t="str">
        <f>表格3[[#This Row],[站名]]&amp;表格3[[#This Row],[城市]]</f>
        <v>虎尾雲林縣</v>
      </c>
      <c r="B22" s="7" t="s">
        <v>2427</v>
      </c>
      <c r="C22" s="7" t="s">
        <v>2398</v>
      </c>
      <c r="D22" s="7" t="s">
        <v>2416</v>
      </c>
      <c r="E22" s="7">
        <v>38</v>
      </c>
    </row>
    <row r="23" spans="1:5">
      <c r="A23" s="8" t="str">
        <f>表格3[[#This Row],[站名]]&amp;表格3[[#This Row],[城市]]</f>
        <v>旗山高雄市</v>
      </c>
      <c r="B23" s="7" t="s">
        <v>2427</v>
      </c>
      <c r="C23" s="7" t="s">
        <v>2395</v>
      </c>
      <c r="D23" s="7" t="s">
        <v>2419</v>
      </c>
      <c r="E23" s="7">
        <v>60</v>
      </c>
    </row>
    <row r="24" spans="1:5">
      <c r="A24" s="8" t="str">
        <f>表格3[[#This Row],[站名]]&amp;表格3[[#This Row],[城市]]</f>
        <v>仁愛南投縣</v>
      </c>
      <c r="B24" s="7" t="s">
        <v>2436</v>
      </c>
      <c r="C24" s="7" t="s">
        <v>2391</v>
      </c>
      <c r="D24" s="7" t="s">
        <v>2440</v>
      </c>
      <c r="E24" s="7">
        <v>1184</v>
      </c>
    </row>
    <row r="25" spans="1:5">
      <c r="A25" s="8" t="str">
        <f>表格3[[#This Row],[站名]]&amp;表格3[[#This Row],[城市]]</f>
        <v>信義南投縣</v>
      </c>
      <c r="B25" s="7" t="s">
        <v>2436</v>
      </c>
      <c r="C25" s="7" t="s">
        <v>2391</v>
      </c>
      <c r="D25" s="7" t="s">
        <v>2437</v>
      </c>
      <c r="E25" s="7">
        <v>536</v>
      </c>
    </row>
    <row r="26" spans="1:5">
      <c r="A26" s="8" t="str">
        <f>表格3[[#This Row],[站名]]&amp;表格3[[#This Row],[城市]]</f>
        <v>廬山南投縣</v>
      </c>
      <c r="B26" s="7" t="s">
        <v>2436</v>
      </c>
      <c r="C26" s="7" t="s">
        <v>2391</v>
      </c>
      <c r="D26" s="7" t="s">
        <v>2439</v>
      </c>
      <c r="E26" s="7">
        <v>1562</v>
      </c>
    </row>
    <row r="27" spans="1:5">
      <c r="A27" s="8" t="str">
        <f>表格3[[#This Row],[站名]]&amp;表格3[[#This Row],[城市]]</f>
        <v>梅峰南投縣</v>
      </c>
      <c r="B27" s="7" t="s">
        <v>2436</v>
      </c>
      <c r="C27" s="7" t="s">
        <v>2391</v>
      </c>
      <c r="D27" s="7" t="s">
        <v>2442</v>
      </c>
      <c r="E27" s="7">
        <v>2165</v>
      </c>
    </row>
    <row r="28" spans="1:5">
      <c r="A28" s="8" t="str">
        <f>表格3[[#This Row],[站名]]&amp;表格3[[#This Row],[城市]]</f>
        <v>神木村南投縣</v>
      </c>
      <c r="B28" s="7" t="s">
        <v>2436</v>
      </c>
      <c r="C28" s="7" t="s">
        <v>2391</v>
      </c>
      <c r="D28" s="7" t="s">
        <v>2489</v>
      </c>
      <c r="E28" s="7">
        <v>1595</v>
      </c>
    </row>
    <row r="29" spans="1:5">
      <c r="A29" s="8" t="str">
        <f>表格3[[#This Row],[站名]]&amp;表格3[[#This Row],[城市]]</f>
        <v>萬大林道南投縣</v>
      </c>
      <c r="B29" s="7" t="s">
        <v>2436</v>
      </c>
      <c r="C29" s="7" t="s">
        <v>2391</v>
      </c>
      <c r="D29" s="7" t="s">
        <v>2441</v>
      </c>
      <c r="E29" s="7">
        <v>1601</v>
      </c>
    </row>
    <row r="30" spans="1:5">
      <c r="A30" s="8" t="str">
        <f>表格3[[#This Row],[站名]]&amp;表格3[[#This Row],[城市]]</f>
        <v>魚池南投縣</v>
      </c>
      <c r="B30" s="7" t="s">
        <v>2436</v>
      </c>
      <c r="C30" s="7" t="s">
        <v>2391</v>
      </c>
      <c r="D30" s="7" t="s">
        <v>2438</v>
      </c>
      <c r="E30" s="7">
        <v>671</v>
      </c>
    </row>
    <row r="31" spans="1:5">
      <c r="A31" s="8" t="str">
        <f>表格3[[#This Row],[站名]]&amp;表格3[[#This Row],[城市]]</f>
        <v>奮起湖嘉義縣</v>
      </c>
      <c r="B31" s="7" t="s">
        <v>2436</v>
      </c>
      <c r="C31" s="7" t="s">
        <v>2403</v>
      </c>
      <c r="D31" s="7" t="s">
        <v>2444</v>
      </c>
      <c r="E31" s="7">
        <v>1385</v>
      </c>
    </row>
    <row r="32" spans="1:5">
      <c r="A32" s="8" t="str">
        <f>表格3[[#This Row],[站名]]&amp;表格3[[#This Row],[城市]]</f>
        <v>新美嘉義縣</v>
      </c>
      <c r="B32" s="7" t="s">
        <v>2436</v>
      </c>
      <c r="C32" s="7" t="s">
        <v>2403</v>
      </c>
      <c r="D32" s="7" t="s">
        <v>2446</v>
      </c>
      <c r="E32" s="7">
        <v>578</v>
      </c>
    </row>
    <row r="33" spans="1:5">
      <c r="A33" s="8" t="str">
        <f>表格3[[#This Row],[站名]]&amp;表格3[[#This Row],[城市]]</f>
        <v>表湖嘉義縣</v>
      </c>
      <c r="B33" s="7" t="s">
        <v>2436</v>
      </c>
      <c r="C33" s="7" t="s">
        <v>2403</v>
      </c>
      <c r="D33" s="7" t="s">
        <v>2490</v>
      </c>
      <c r="E33" s="7">
        <v>695</v>
      </c>
    </row>
    <row r="34" spans="1:5">
      <c r="A34" s="8" t="str">
        <f>表格3[[#This Row],[站名]]&amp;表格3[[#This Row],[城市]]</f>
        <v>達邦嘉義縣</v>
      </c>
      <c r="B34" s="7" t="s">
        <v>2436</v>
      </c>
      <c r="C34" s="7" t="s">
        <v>2403</v>
      </c>
      <c r="D34" s="7" t="s">
        <v>2445</v>
      </c>
      <c r="E34" s="7">
        <v>980</v>
      </c>
    </row>
    <row r="35" spans="1:5">
      <c r="A35" s="8" t="str">
        <f>表格3[[#This Row],[站名]]&amp;表格3[[#This Row],[城市]]</f>
        <v>里佳嘉義縣</v>
      </c>
      <c r="B35" s="7" t="s">
        <v>2436</v>
      </c>
      <c r="C35" s="7" t="s">
        <v>2403</v>
      </c>
      <c r="D35" s="7" t="s">
        <v>2443</v>
      </c>
      <c r="E35" s="7">
        <v>1354</v>
      </c>
    </row>
    <row r="36" spans="1:5">
      <c r="A36" s="8" t="str">
        <f>表格3[[#This Row],[站名]]&amp;表格3[[#This Row],[城市]]</f>
        <v>南山宜蘭縣</v>
      </c>
      <c r="B36" s="7" t="s">
        <v>2436</v>
      </c>
      <c r="C36" s="7" t="s">
        <v>2388</v>
      </c>
      <c r="D36" s="7" t="s">
        <v>2448</v>
      </c>
      <c r="E36" s="7">
        <v>1260</v>
      </c>
    </row>
    <row r="37" spans="1:5">
      <c r="A37" s="8" t="str">
        <f>表格3[[#This Row],[站名]]&amp;表格3[[#This Row],[城市]]</f>
        <v>坪林石牌宜蘭縣</v>
      </c>
      <c r="B37" s="7" t="s">
        <v>2436</v>
      </c>
      <c r="C37" s="7" t="s">
        <v>2388</v>
      </c>
      <c r="D37" s="7" t="s">
        <v>2491</v>
      </c>
      <c r="E37" s="7">
        <v>573</v>
      </c>
    </row>
    <row r="38" spans="1:5">
      <c r="A38" s="8" t="str">
        <f>表格3[[#This Row],[站名]]&amp;表格3[[#This Row],[城市]]</f>
        <v>多加屯宜蘭縣</v>
      </c>
      <c r="B38" s="7" t="s">
        <v>2436</v>
      </c>
      <c r="C38" s="7" t="s">
        <v>2388</v>
      </c>
      <c r="D38" s="7" t="s">
        <v>2451</v>
      </c>
      <c r="E38" s="7">
        <v>2619</v>
      </c>
    </row>
    <row r="39" spans="1:5">
      <c r="A39" s="8" t="str">
        <f>表格3[[#This Row],[站名]]&amp;表格3[[#This Row],[城市]]</f>
        <v>太平山宜蘭縣</v>
      </c>
      <c r="B39" s="7" t="s">
        <v>2436</v>
      </c>
      <c r="C39" s="7" t="s">
        <v>2388</v>
      </c>
      <c r="D39" s="7" t="s">
        <v>2449</v>
      </c>
      <c r="E39" s="7">
        <v>1942</v>
      </c>
    </row>
    <row r="40" spans="1:5">
      <c r="A40" s="8" t="str">
        <f>表格3[[#This Row],[站名]]&amp;表格3[[#This Row],[城市]]</f>
        <v>太平山中間站宜蘭縣</v>
      </c>
      <c r="B40" s="7" t="s">
        <v>2436</v>
      </c>
      <c r="C40" s="7" t="s">
        <v>2388</v>
      </c>
      <c r="D40" s="7" t="s">
        <v>2492</v>
      </c>
      <c r="E40" s="7">
        <v>890</v>
      </c>
    </row>
    <row r="41" spans="1:5">
      <c r="A41" s="8" t="str">
        <f>表格3[[#This Row],[站名]]&amp;表格3[[#This Row],[城市]]</f>
        <v>太平山莊宜蘭縣</v>
      </c>
      <c r="B41" s="7" t="s">
        <v>2436</v>
      </c>
      <c r="C41" s="7" t="s">
        <v>2388</v>
      </c>
      <c r="D41" s="7" t="s">
        <v>2493</v>
      </c>
      <c r="E41" s="7">
        <v>1925</v>
      </c>
    </row>
    <row r="42" spans="1:5">
      <c r="A42" s="8" t="str">
        <f>表格3[[#This Row],[站名]]&amp;表格3[[#This Row],[城市]]</f>
        <v>明池宜蘭縣</v>
      </c>
      <c r="B42" s="7" t="s">
        <v>2436</v>
      </c>
      <c r="C42" s="7" t="s">
        <v>2388</v>
      </c>
      <c r="D42" s="7" t="s">
        <v>2494</v>
      </c>
      <c r="E42" s="7">
        <v>1163</v>
      </c>
    </row>
    <row r="43" spans="1:5">
      <c r="A43" s="8" t="str">
        <f>表格3[[#This Row],[站名]]&amp;表格3[[#This Row],[城市]]</f>
        <v>桃源谷宜蘭縣</v>
      </c>
      <c r="B43" s="7" t="s">
        <v>2436</v>
      </c>
      <c r="C43" s="7" t="s">
        <v>2388</v>
      </c>
      <c r="D43" s="7" t="s">
        <v>2495</v>
      </c>
      <c r="E43" s="7">
        <v>547</v>
      </c>
    </row>
    <row r="44" spans="1:5">
      <c r="A44" s="8" t="str">
        <f>表格3[[#This Row],[站名]]&amp;表格3[[#This Row],[城市]]</f>
        <v>樟樹山宜蘭縣</v>
      </c>
      <c r="B44" s="7" t="s">
        <v>2436</v>
      </c>
      <c r="C44" s="7" t="s">
        <v>2388</v>
      </c>
      <c r="D44" s="7" t="s">
        <v>2496</v>
      </c>
      <c r="E44" s="7">
        <v>566</v>
      </c>
    </row>
    <row r="45" spans="1:5">
      <c r="A45" s="8" t="str">
        <f>表格3[[#This Row],[站名]]&amp;表格3[[#This Row],[城市]]</f>
        <v>白嶺宜蘭縣</v>
      </c>
      <c r="B45" s="7" t="s">
        <v>2436</v>
      </c>
      <c r="C45" s="7" t="s">
        <v>2388</v>
      </c>
      <c r="D45" s="7" t="s">
        <v>2497</v>
      </c>
      <c r="E45" s="7">
        <v>1397</v>
      </c>
    </row>
    <row r="46" spans="1:5">
      <c r="A46" s="8" t="str">
        <f>表格3[[#This Row],[站名]]&amp;表格3[[#This Row],[城市]]</f>
        <v>翠峰林道6K宜蘭縣</v>
      </c>
      <c r="B46" s="7" t="s">
        <v>2436</v>
      </c>
      <c r="C46" s="7" t="s">
        <v>2388</v>
      </c>
      <c r="D46" s="7" t="s">
        <v>2498</v>
      </c>
      <c r="E46" s="7">
        <v>1981</v>
      </c>
    </row>
    <row r="47" spans="1:5">
      <c r="A47" s="8" t="str">
        <f>表格3[[#This Row],[站名]]&amp;表格3[[#This Row],[城市]]</f>
        <v>翠峰湖宜蘭縣</v>
      </c>
      <c r="B47" s="7" t="s">
        <v>2436</v>
      </c>
      <c r="C47" s="7" t="s">
        <v>2388</v>
      </c>
      <c r="D47" s="7" t="s">
        <v>2450</v>
      </c>
      <c r="E47" s="7">
        <v>1885</v>
      </c>
    </row>
    <row r="48" spans="1:5">
      <c r="A48" s="8" t="str">
        <f>表格3[[#This Row],[站名]]&amp;表格3[[#This Row],[城市]]</f>
        <v>西帽山宜蘭縣</v>
      </c>
      <c r="B48" s="7" t="s">
        <v>2436</v>
      </c>
      <c r="C48" s="7" t="s">
        <v>2388</v>
      </c>
      <c r="D48" s="7" t="s">
        <v>2499</v>
      </c>
      <c r="E48" s="7">
        <v>808</v>
      </c>
    </row>
    <row r="49" spans="1:5">
      <c r="A49" s="8" t="str">
        <f>表格3[[#This Row],[站名]]&amp;表格3[[#This Row],[城市]]</f>
        <v>西德山宜蘭縣</v>
      </c>
      <c r="B49" s="7" t="s">
        <v>2436</v>
      </c>
      <c r="C49" s="7" t="s">
        <v>2388</v>
      </c>
      <c r="D49" s="7" t="s">
        <v>2453</v>
      </c>
      <c r="E49" s="7">
        <v>1121</v>
      </c>
    </row>
    <row r="50" spans="1:5">
      <c r="A50" s="8" t="str">
        <f>表格3[[#This Row],[站名]]&amp;表格3[[#This Row],[城市]]</f>
        <v>雙連埤宜蘭縣</v>
      </c>
      <c r="B50" s="7" t="s">
        <v>2436</v>
      </c>
      <c r="C50" s="7" t="s">
        <v>2388</v>
      </c>
      <c r="D50" s="7" t="s">
        <v>2447</v>
      </c>
      <c r="E50" s="7">
        <v>517</v>
      </c>
    </row>
    <row r="51" spans="1:5">
      <c r="A51" s="8" t="str">
        <f>表格3[[#This Row],[站名]]&amp;表格3[[#This Row],[城市]]</f>
        <v>鴛鴦湖宜蘭縣</v>
      </c>
      <c r="B51" s="7" t="s">
        <v>2436</v>
      </c>
      <c r="C51" s="7" t="s">
        <v>2388</v>
      </c>
      <c r="D51" s="7" t="s">
        <v>2452</v>
      </c>
      <c r="E51" s="7">
        <v>1711</v>
      </c>
    </row>
    <row r="52" spans="1:5">
      <c r="A52" s="8" t="str">
        <f>表格3[[#This Row],[站名]]&amp;表格3[[#This Row],[城市]]</f>
        <v>鶯子嶺宜蘭縣</v>
      </c>
      <c r="B52" s="7" t="s">
        <v>2436</v>
      </c>
      <c r="C52" s="7" t="s">
        <v>2388</v>
      </c>
      <c r="D52" s="7" t="s">
        <v>2500</v>
      </c>
      <c r="E52" s="7">
        <v>1012</v>
      </c>
    </row>
    <row r="53" spans="1:5">
      <c r="A53" s="8" t="str">
        <f>表格3[[#This Row],[站名]]&amp;表格3[[#This Row],[城市]]</f>
        <v>四林格山屏東縣</v>
      </c>
      <c r="B53" s="7" t="s">
        <v>2436</v>
      </c>
      <c r="C53" s="7" t="s">
        <v>2392</v>
      </c>
      <c r="D53" s="7" t="s">
        <v>2501</v>
      </c>
      <c r="E53" s="7">
        <v>551</v>
      </c>
    </row>
    <row r="54" spans="1:5">
      <c r="A54" s="8" t="str">
        <f>表格3[[#This Row],[站名]]&amp;表格3[[#This Row],[城市]]</f>
        <v>大漢山屏東縣</v>
      </c>
      <c r="B54" s="7" t="s">
        <v>2436</v>
      </c>
      <c r="C54" s="7" t="s">
        <v>2392</v>
      </c>
      <c r="D54" s="7" t="s">
        <v>2456</v>
      </c>
      <c r="E54" s="7">
        <v>1654</v>
      </c>
    </row>
    <row r="55" spans="1:5">
      <c r="A55" s="8" t="str">
        <f>表格3[[#This Row],[站名]]&amp;表格3[[#This Row],[城市]]</f>
        <v>尾寮山屏東縣</v>
      </c>
      <c r="B55" s="7" t="s">
        <v>2436</v>
      </c>
      <c r="C55" s="7" t="s">
        <v>2392</v>
      </c>
      <c r="D55" s="7" t="s">
        <v>2457</v>
      </c>
      <c r="E55" s="7">
        <v>1006</v>
      </c>
    </row>
    <row r="56" spans="1:5">
      <c r="A56" s="8" t="str">
        <f>表格3[[#This Row],[站名]]&amp;表格3[[#This Row],[城市]]</f>
        <v>牡丹池山屏東縣</v>
      </c>
      <c r="B56" s="7" t="s">
        <v>2436</v>
      </c>
      <c r="C56" s="7" t="s">
        <v>2392</v>
      </c>
      <c r="D56" s="7" t="s">
        <v>2502</v>
      </c>
      <c r="E56" s="7">
        <v>536</v>
      </c>
    </row>
    <row r="57" spans="1:5">
      <c r="A57" s="8" t="str">
        <f>表格3[[#This Row],[站名]]&amp;表格3[[#This Row],[城市]]</f>
        <v>瑪家屏東縣</v>
      </c>
      <c r="B57" s="7" t="s">
        <v>2436</v>
      </c>
      <c r="C57" s="7" t="s">
        <v>2392</v>
      </c>
      <c r="D57" s="7" t="s">
        <v>2503</v>
      </c>
      <c r="E57" s="7">
        <v>740</v>
      </c>
    </row>
    <row r="58" spans="1:5">
      <c r="A58" s="8" t="str">
        <f>表格3[[#This Row],[站名]]&amp;表格3[[#This Row],[城市]]</f>
        <v>白鷺屏東縣</v>
      </c>
      <c r="B58" s="7" t="s">
        <v>2436</v>
      </c>
      <c r="C58" s="7" t="s">
        <v>2392</v>
      </c>
      <c r="D58" s="7" t="s">
        <v>2504</v>
      </c>
      <c r="E58" s="7">
        <v>588</v>
      </c>
    </row>
    <row r="59" spans="1:5">
      <c r="A59" s="8" t="str">
        <f>表格3[[#This Row],[站名]]&amp;表格3[[#This Row],[城市]]</f>
        <v>舊泰武屏東縣</v>
      </c>
      <c r="B59" s="7" t="s">
        <v>2436</v>
      </c>
      <c r="C59" s="7" t="s">
        <v>2392</v>
      </c>
      <c r="D59" s="7" t="s">
        <v>2454</v>
      </c>
      <c r="E59" s="7">
        <v>766</v>
      </c>
    </row>
    <row r="60" spans="1:5">
      <c r="A60" s="8" t="str">
        <f>表格3[[#This Row],[站名]]&amp;表格3[[#This Row],[城市]]</f>
        <v>阿禮屏東縣</v>
      </c>
      <c r="B60" s="7" t="s">
        <v>2436</v>
      </c>
      <c r="C60" s="7" t="s">
        <v>2392</v>
      </c>
      <c r="D60" s="7" t="s">
        <v>2455</v>
      </c>
      <c r="E60" s="7">
        <v>1040</v>
      </c>
    </row>
    <row r="61" spans="1:5">
      <c r="A61" s="8" t="str">
        <f>表格3[[#This Row],[站名]]&amp;表格3[[#This Row],[城市]]</f>
        <v>五分山新北市</v>
      </c>
      <c r="B61" s="7" t="s">
        <v>2436</v>
      </c>
      <c r="C61" s="7" t="s">
        <v>2399</v>
      </c>
      <c r="D61" s="7" t="s">
        <v>2460</v>
      </c>
      <c r="E61" s="7">
        <v>755</v>
      </c>
    </row>
    <row r="62" spans="1:5">
      <c r="A62" s="8" t="str">
        <f>表格3[[#This Row],[站名]]&amp;表格3[[#This Row],[城市]]</f>
        <v>五指山新北市</v>
      </c>
      <c r="B62" s="7" t="s">
        <v>2436</v>
      </c>
      <c r="C62" s="7" t="s">
        <v>2399</v>
      </c>
      <c r="D62" s="7" t="s">
        <v>2459</v>
      </c>
      <c r="E62" s="7">
        <v>685</v>
      </c>
    </row>
    <row r="63" spans="1:5">
      <c r="A63" s="8" t="str">
        <f>表格3[[#This Row],[站名]]&amp;表格3[[#This Row],[城市]]</f>
        <v>硬漢嶺新北市</v>
      </c>
      <c r="B63" s="7" t="s">
        <v>2436</v>
      </c>
      <c r="C63" s="7" t="s">
        <v>2399</v>
      </c>
      <c r="D63" s="7" t="s">
        <v>2505</v>
      </c>
      <c r="E63" s="7">
        <v>607</v>
      </c>
    </row>
    <row r="64" spans="1:5">
      <c r="A64" s="8" t="str">
        <f>表格3[[#This Row],[站名]]&amp;表格3[[#This Row],[城市]]</f>
        <v>福山植物園新北市</v>
      </c>
      <c r="B64" s="7" t="s">
        <v>2436</v>
      </c>
      <c r="C64" s="7" t="s">
        <v>2399</v>
      </c>
      <c r="D64" s="7" t="s">
        <v>2458</v>
      </c>
      <c r="E64" s="7">
        <v>660</v>
      </c>
    </row>
    <row r="65" spans="1:5">
      <c r="A65" s="8" t="str">
        <f>表格3[[#This Row],[站名]]&amp;表格3[[#This Row],[城市]]</f>
        <v>大坪苗圃新竹縣</v>
      </c>
      <c r="B65" s="7" t="s">
        <v>2436</v>
      </c>
      <c r="C65" s="7" t="s">
        <v>2401</v>
      </c>
      <c r="D65" s="7" t="s">
        <v>2463</v>
      </c>
      <c r="E65" s="7">
        <v>1371</v>
      </c>
    </row>
    <row r="66" spans="1:5">
      <c r="A66" s="8" t="str">
        <f>表格3[[#This Row],[站名]]&amp;表格3[[#This Row],[城市]]</f>
        <v>梅花新竹縣</v>
      </c>
      <c r="B66" s="7" t="s">
        <v>2436</v>
      </c>
      <c r="C66" s="7" t="s">
        <v>2401</v>
      </c>
      <c r="D66" s="7" t="s">
        <v>2461</v>
      </c>
      <c r="E66" s="7">
        <v>523</v>
      </c>
    </row>
    <row r="67" spans="1:5">
      <c r="A67" s="8" t="str">
        <f>表格3[[#This Row],[站名]]&amp;表格3[[#This Row],[城市]]</f>
        <v>樂山林道6k新竹縣</v>
      </c>
      <c r="B67" s="7" t="s">
        <v>2436</v>
      </c>
      <c r="C67" s="7" t="s">
        <v>2401</v>
      </c>
      <c r="D67" s="7" t="s">
        <v>2462</v>
      </c>
      <c r="E67" s="7">
        <v>2292</v>
      </c>
    </row>
    <row r="68" spans="1:5">
      <c r="A68" s="8" t="str">
        <f>表格3[[#This Row],[站名]]&amp;表格3[[#This Row],[城市]]</f>
        <v>雪霸新竹縣</v>
      </c>
      <c r="B68" s="7" t="s">
        <v>2436</v>
      </c>
      <c r="C68" s="7" t="s">
        <v>2401</v>
      </c>
      <c r="D68" s="7" t="s">
        <v>2464</v>
      </c>
      <c r="E68" s="7">
        <v>1956</v>
      </c>
    </row>
    <row r="69" spans="1:5">
      <c r="A69" s="8" t="str">
        <f>表格3[[#This Row],[站名]]&amp;表格3[[#This Row],[城市]]</f>
        <v>復興桃園市</v>
      </c>
      <c r="B69" s="7" t="s">
        <v>2436</v>
      </c>
      <c r="C69" s="7" t="s">
        <v>2394</v>
      </c>
      <c r="D69" s="7" t="s">
        <v>2465</v>
      </c>
      <c r="E69" s="7">
        <v>482</v>
      </c>
    </row>
    <row r="70" spans="1:5">
      <c r="A70" s="8" t="str">
        <f>表格3[[#This Row],[站名]]&amp;表格3[[#This Row],[城市]]</f>
        <v>四稜桃園市</v>
      </c>
      <c r="B70" s="7" t="s">
        <v>2436</v>
      </c>
      <c r="C70" s="7" t="s">
        <v>2394</v>
      </c>
      <c r="D70" s="7" t="s">
        <v>2467</v>
      </c>
      <c r="E70" s="7">
        <v>1167</v>
      </c>
    </row>
    <row r="71" spans="1:5">
      <c r="A71" s="8" t="str">
        <f>表格3[[#This Row],[站名]]&amp;表格3[[#This Row],[城市]]</f>
        <v>東眼山桃園市</v>
      </c>
      <c r="B71" s="7" t="s">
        <v>2436</v>
      </c>
      <c r="C71" s="7" t="s">
        <v>2394</v>
      </c>
      <c r="D71" s="7" t="s">
        <v>2466</v>
      </c>
      <c r="E71" s="7">
        <v>858</v>
      </c>
    </row>
    <row r="72" spans="1:5">
      <c r="A72" s="8" t="str">
        <f>表格3[[#This Row],[站名]]&amp;表格3[[#This Row],[城市]]</f>
        <v>中坑臺中市</v>
      </c>
      <c r="B72" s="7" t="s">
        <v>2436</v>
      </c>
      <c r="C72" s="7" t="s">
        <v>2405</v>
      </c>
      <c r="D72" s="7" t="s">
        <v>2469</v>
      </c>
      <c r="E72" s="7">
        <v>983</v>
      </c>
    </row>
    <row r="73" spans="1:5">
      <c r="A73" s="8" t="str">
        <f>表格3[[#This Row],[站名]]&amp;表格3[[#This Row],[城市]]</f>
        <v>中橫21.6k臺中市</v>
      </c>
      <c r="B73" s="7" t="s">
        <v>2436</v>
      </c>
      <c r="C73" s="7" t="s">
        <v>2405</v>
      </c>
      <c r="D73" s="7" t="s">
        <v>2506</v>
      </c>
      <c r="E73" s="7">
        <v>1341</v>
      </c>
    </row>
    <row r="74" spans="1:5">
      <c r="A74" s="8" t="str">
        <f>表格3[[#This Row],[站名]]&amp;表格3[[#This Row],[城市]]</f>
        <v>八仙山苗圃臺中市</v>
      </c>
      <c r="B74" s="7" t="s">
        <v>2436</v>
      </c>
      <c r="C74" s="7" t="s">
        <v>2405</v>
      </c>
      <c r="D74" s="7" t="s">
        <v>2507</v>
      </c>
      <c r="E74" s="7">
        <v>961</v>
      </c>
    </row>
    <row r="75" spans="1:5">
      <c r="A75" s="8" t="str">
        <f>表格3[[#This Row],[站名]]&amp;表格3[[#This Row],[城市]]</f>
        <v>出雲山苗圃臺中市</v>
      </c>
      <c r="B75" s="7" t="s">
        <v>2436</v>
      </c>
      <c r="C75" s="7" t="s">
        <v>2405</v>
      </c>
      <c r="D75" s="7" t="s">
        <v>2508</v>
      </c>
      <c r="E75" s="7">
        <v>1034</v>
      </c>
    </row>
    <row r="76" spans="1:5">
      <c r="A76" s="8" t="str">
        <f>表格3[[#This Row],[站名]]&amp;表格3[[#This Row],[城市]]</f>
        <v>大雪山臺中市</v>
      </c>
      <c r="B76" s="7" t="s">
        <v>2436</v>
      </c>
      <c r="C76" s="7" t="s">
        <v>2405</v>
      </c>
      <c r="D76" s="7" t="s">
        <v>2470</v>
      </c>
      <c r="E76" s="7">
        <v>2275</v>
      </c>
    </row>
    <row r="77" spans="1:5">
      <c r="A77" s="8" t="str">
        <f>表格3[[#This Row],[站名]]&amp;表格3[[#This Row],[城市]]</f>
        <v>大雪山埡口臺中市</v>
      </c>
      <c r="B77" s="7" t="s">
        <v>2436</v>
      </c>
      <c r="C77" s="7" t="s">
        <v>2405</v>
      </c>
      <c r="D77" s="7" t="s">
        <v>2473</v>
      </c>
      <c r="E77" s="7">
        <v>2591</v>
      </c>
    </row>
    <row r="78" spans="1:5">
      <c r="A78" s="8" t="str">
        <f>表格3[[#This Row],[站名]]&amp;表格3[[#This Row],[城市]]</f>
        <v>小雪山天池臺中市</v>
      </c>
      <c r="B78" s="7" t="s">
        <v>2436</v>
      </c>
      <c r="C78" s="7" t="s">
        <v>2405</v>
      </c>
      <c r="D78" s="7" t="s">
        <v>2472</v>
      </c>
      <c r="E78" s="7">
        <v>2629</v>
      </c>
    </row>
    <row r="79" spans="1:5">
      <c r="A79" s="8" t="str">
        <f>表格3[[#This Row],[站名]]&amp;表格3[[#This Row],[城市]]</f>
        <v>新社臺中市</v>
      </c>
      <c r="B79" s="7" t="s">
        <v>2436</v>
      </c>
      <c r="C79" s="7" t="s">
        <v>2405</v>
      </c>
      <c r="D79" s="7" t="s">
        <v>2468</v>
      </c>
      <c r="E79" s="7">
        <v>525</v>
      </c>
    </row>
    <row r="80" spans="1:5">
      <c r="A80" s="8" t="str">
        <f>表格3[[#This Row],[站名]]&amp;表格3[[#This Row],[城市]]</f>
        <v>雪山橋臺中市</v>
      </c>
      <c r="B80" s="7" t="s">
        <v>2436</v>
      </c>
      <c r="C80" s="7" t="s">
        <v>2405</v>
      </c>
      <c r="D80" s="7" t="s">
        <v>2509</v>
      </c>
      <c r="E80" s="7">
        <v>2006</v>
      </c>
    </row>
    <row r="81" spans="1:5">
      <c r="A81" s="8" t="str">
        <f>表格3[[#This Row],[站名]]&amp;表格3[[#This Row],[城市]]</f>
        <v>鞍馬山工作站臺中市</v>
      </c>
      <c r="B81" s="7" t="s">
        <v>2436</v>
      </c>
      <c r="C81" s="7" t="s">
        <v>2405</v>
      </c>
      <c r="D81" s="7" t="s">
        <v>2471</v>
      </c>
      <c r="E81" s="7">
        <v>2137</v>
      </c>
    </row>
    <row r="82" spans="1:5">
      <c r="A82" s="8" t="str">
        <f>表格3[[#This Row],[站名]]&amp;表格3[[#This Row],[城市]]</f>
        <v>大屯山臺北市</v>
      </c>
      <c r="B82" s="7" t="s">
        <v>2436</v>
      </c>
      <c r="C82" s="7" t="s">
        <v>2406</v>
      </c>
      <c r="D82" s="7" t="s">
        <v>2474</v>
      </c>
      <c r="E82" s="7">
        <v>1079</v>
      </c>
    </row>
    <row r="83" spans="1:5">
      <c r="A83" s="8" t="str">
        <f>表格3[[#This Row],[站名]]&amp;表格3[[#This Row],[城市]]</f>
        <v>下馬臺東縣</v>
      </c>
      <c r="B83" s="7" t="s">
        <v>2436</v>
      </c>
      <c r="C83" s="7" t="s">
        <v>2407</v>
      </c>
      <c r="D83" s="7" t="s">
        <v>2475</v>
      </c>
      <c r="E83" s="7">
        <v>794</v>
      </c>
    </row>
    <row r="84" spans="1:5">
      <c r="A84" s="8" t="str">
        <f>表格3[[#This Row],[站名]]&amp;表格3[[#This Row],[城市]]</f>
        <v>勝林山臺東縣</v>
      </c>
      <c r="B84" s="7" t="s">
        <v>2436</v>
      </c>
      <c r="C84" s="7" t="s">
        <v>2407</v>
      </c>
      <c r="D84" s="7" t="s">
        <v>2510</v>
      </c>
      <c r="E84" s="7">
        <v>903</v>
      </c>
    </row>
    <row r="85" spans="1:5">
      <c r="A85" s="8" t="str">
        <f>表格3[[#This Row],[站名]]&amp;表格3[[#This Row],[城市]]</f>
        <v>向陽臺東縣</v>
      </c>
      <c r="B85" s="7" t="s">
        <v>2436</v>
      </c>
      <c r="C85" s="7" t="s">
        <v>2407</v>
      </c>
      <c r="D85" s="7" t="s">
        <v>2478</v>
      </c>
      <c r="E85" s="7">
        <v>2280</v>
      </c>
    </row>
    <row r="86" spans="1:5">
      <c r="A86" s="8" t="str">
        <f>表格3[[#This Row],[站名]]&amp;表格3[[#This Row],[城市]]</f>
        <v>太麻里臺東縣</v>
      </c>
      <c r="B86" s="7" t="s">
        <v>2436</v>
      </c>
      <c r="C86" s="7" t="s">
        <v>2407</v>
      </c>
      <c r="D86" s="7" t="s">
        <v>2511</v>
      </c>
      <c r="E86" s="7">
        <v>522</v>
      </c>
    </row>
    <row r="87" spans="1:5">
      <c r="A87" s="8" t="str">
        <f>表格3[[#This Row],[站名]]&amp;表格3[[#This Row],[城市]]</f>
        <v>知本臺東縣</v>
      </c>
      <c r="B87" s="7" t="s">
        <v>2436</v>
      </c>
      <c r="C87" s="7" t="s">
        <v>2407</v>
      </c>
      <c r="D87" s="7" t="s">
        <v>2512</v>
      </c>
      <c r="E87" s="7">
        <v>507</v>
      </c>
    </row>
    <row r="88" spans="1:5">
      <c r="A88" s="8" t="str">
        <f>表格3[[#This Row],[站名]]&amp;表格3[[#This Row],[城市]]</f>
        <v>紅石臺東縣</v>
      </c>
      <c r="B88" s="7" t="s">
        <v>2436</v>
      </c>
      <c r="C88" s="7" t="s">
        <v>2407</v>
      </c>
      <c r="D88" s="7" t="s">
        <v>2476</v>
      </c>
      <c r="E88" s="7">
        <v>1621</v>
      </c>
    </row>
    <row r="89" spans="1:5">
      <c r="A89" s="8" t="str">
        <f>表格3[[#This Row],[站名]]&amp;表格3[[#This Row],[城市]]</f>
        <v>金崙山臺東縣</v>
      </c>
      <c r="B89" s="7" t="s">
        <v>2436</v>
      </c>
      <c r="C89" s="7" t="s">
        <v>2407</v>
      </c>
      <c r="D89" s="7" t="s">
        <v>2477</v>
      </c>
      <c r="E89" s="7">
        <v>857</v>
      </c>
    </row>
    <row r="90" spans="1:5">
      <c r="A90" s="8" t="str">
        <f>表格3[[#This Row],[站名]]&amp;表格3[[#This Row],[城市]]</f>
        <v>佳心花蓮縣</v>
      </c>
      <c r="B90" s="7" t="s">
        <v>2436</v>
      </c>
      <c r="C90" s="7" t="s">
        <v>2389</v>
      </c>
      <c r="D90" s="7" t="s">
        <v>2480</v>
      </c>
      <c r="E90" s="7">
        <v>824</v>
      </c>
    </row>
    <row r="91" spans="1:5">
      <c r="A91" s="8" t="str">
        <f>表格3[[#This Row],[站名]]&amp;表格3[[#This Row],[城市]]</f>
        <v>加路蘭山花蓮縣</v>
      </c>
      <c r="B91" s="7" t="s">
        <v>2436</v>
      </c>
      <c r="C91" s="7" t="s">
        <v>2389</v>
      </c>
      <c r="D91" s="7" t="s">
        <v>2513</v>
      </c>
      <c r="E91" s="7">
        <v>725</v>
      </c>
    </row>
    <row r="92" spans="1:5">
      <c r="A92" s="8" t="str">
        <f>表格3[[#This Row],[站名]]&amp;表格3[[#This Row],[城市]]</f>
        <v>和平林道花蓮縣</v>
      </c>
      <c r="B92" s="7" t="s">
        <v>2436</v>
      </c>
      <c r="C92" s="7" t="s">
        <v>2389</v>
      </c>
      <c r="D92" s="7" t="s">
        <v>2482</v>
      </c>
      <c r="E92" s="7">
        <v>589</v>
      </c>
    </row>
    <row r="93" spans="1:5">
      <c r="A93" s="8" t="str">
        <f>表格3[[#This Row],[站名]]&amp;表格3[[#This Row],[城市]]</f>
        <v>天祥花蓮縣</v>
      </c>
      <c r="B93" s="7" t="s">
        <v>2436</v>
      </c>
      <c r="C93" s="7" t="s">
        <v>2389</v>
      </c>
      <c r="D93" s="7" t="s">
        <v>2481</v>
      </c>
      <c r="E93" s="7">
        <v>550</v>
      </c>
    </row>
    <row r="94" spans="1:5">
      <c r="A94" s="8" t="str">
        <f>表格3[[#This Row],[站名]]&amp;表格3[[#This Row],[城市]]</f>
        <v>水源花蓮縣</v>
      </c>
      <c r="B94" s="7" t="s">
        <v>2436</v>
      </c>
      <c r="C94" s="7" t="s">
        <v>2389</v>
      </c>
      <c r="D94" s="7" t="s">
        <v>2514</v>
      </c>
      <c r="E94" s="7">
        <v>558</v>
      </c>
    </row>
    <row r="95" spans="1:5">
      <c r="A95" s="8" t="str">
        <f>表格3[[#This Row],[站名]]&amp;表格3[[#This Row],[城市]]</f>
        <v>清水林道花蓮縣</v>
      </c>
      <c r="B95" s="7" t="s">
        <v>2436</v>
      </c>
      <c r="C95" s="7" t="s">
        <v>2389</v>
      </c>
      <c r="D95" s="7" t="s">
        <v>2484</v>
      </c>
      <c r="E95" s="7">
        <v>646</v>
      </c>
    </row>
    <row r="96" spans="1:5">
      <c r="A96" s="8" t="str">
        <f>表格3[[#This Row],[站名]]&amp;表格3[[#This Row],[城市]]</f>
        <v>瑞穗林道花蓮縣</v>
      </c>
      <c r="B96" s="7" t="s">
        <v>2436</v>
      </c>
      <c r="C96" s="7" t="s">
        <v>2389</v>
      </c>
      <c r="D96" s="7" t="s">
        <v>2483</v>
      </c>
      <c r="E96" s="7">
        <v>1124</v>
      </c>
    </row>
    <row r="97" spans="1:5">
      <c r="A97" s="12" t="str">
        <f>表格3[[#This Row],[站名]]&amp;表格3[[#This Row],[城市]]</f>
        <v>秀林花蓮縣</v>
      </c>
      <c r="B97" s="7" t="s">
        <v>2436</v>
      </c>
      <c r="C97" s="7" t="s">
        <v>2389</v>
      </c>
      <c r="D97" s="7" t="s">
        <v>2515</v>
      </c>
      <c r="E97" s="7">
        <v>930</v>
      </c>
    </row>
    <row r="98" spans="1:5">
      <c r="A98" s="12" t="str">
        <f>表格3[[#This Row],[站名]]&amp;表格3[[#This Row],[城市]]</f>
        <v>立霧山花蓮縣</v>
      </c>
      <c r="B98" s="7" t="s">
        <v>2436</v>
      </c>
      <c r="C98" s="7" t="s">
        <v>2389</v>
      </c>
      <c r="D98" s="7" t="s">
        <v>2485</v>
      </c>
      <c r="E98" s="7">
        <v>1108</v>
      </c>
    </row>
    <row r="99" spans="1:5">
      <c r="A99" s="12" t="str">
        <f>表格3[[#This Row],[站名]]&amp;表格3[[#This Row],[城市]]</f>
        <v>赤柯山花蓮縣</v>
      </c>
      <c r="B99" s="7" t="s">
        <v>2436</v>
      </c>
      <c r="C99" s="7" t="s">
        <v>2389</v>
      </c>
      <c r="D99" s="7" t="s">
        <v>2516</v>
      </c>
      <c r="E99" s="7">
        <v>946</v>
      </c>
    </row>
    <row r="100" spans="1:5">
      <c r="A100" s="12" t="str">
        <f>表格3[[#This Row],[站名]]&amp;表格3[[#This Row],[城市]]</f>
        <v>鳳林山花蓮縣</v>
      </c>
      <c r="B100" s="7" t="s">
        <v>2436</v>
      </c>
      <c r="C100" s="7" t="s">
        <v>2389</v>
      </c>
      <c r="D100" s="7" t="s">
        <v>2479</v>
      </c>
      <c r="E100" s="7">
        <v>605</v>
      </c>
    </row>
    <row r="101" spans="1:5">
      <c r="A101" s="12" t="str">
        <f>表格3[[#This Row],[站名]]&amp;表格3[[#This Row],[城市]]</f>
        <v>松安苗栗縣</v>
      </c>
      <c r="B101" s="7" t="s">
        <v>2436</v>
      </c>
      <c r="C101" s="7" t="s">
        <v>2393</v>
      </c>
      <c r="D101" s="7" t="s">
        <v>2517</v>
      </c>
      <c r="E101" s="7">
        <v>1328</v>
      </c>
    </row>
    <row r="102" spans="1:5">
      <c r="A102" s="12" t="str">
        <f>表格3[[#This Row],[站名]]&amp;表格3[[#This Row],[城市]]</f>
        <v>觀霧分站苗栗縣</v>
      </c>
      <c r="B102" s="7" t="s">
        <v>2436</v>
      </c>
      <c r="C102" s="7" t="s">
        <v>2393</v>
      </c>
      <c r="D102" s="7" t="s">
        <v>2487</v>
      </c>
      <c r="E102" s="7">
        <v>2094</v>
      </c>
    </row>
    <row r="103" spans="1:5">
      <c r="A103" s="12" t="str">
        <f>表格3[[#This Row],[站名]]&amp;表格3[[#This Row],[城市]]</f>
        <v>雪見苗栗縣</v>
      </c>
      <c r="B103" s="7" t="s">
        <v>2436</v>
      </c>
      <c r="C103" s="7" t="s">
        <v>2393</v>
      </c>
      <c r="D103" s="7" t="s">
        <v>2486</v>
      </c>
      <c r="E103" s="7">
        <v>1881</v>
      </c>
    </row>
    <row r="104" spans="1:5">
      <c r="A104" s="12" t="str">
        <f>表格3[[#This Row],[站名]]&amp;表格3[[#This Row],[城市]]</f>
        <v>馬都安苗栗縣</v>
      </c>
      <c r="B104" s="7" t="s">
        <v>2436</v>
      </c>
      <c r="C104" s="7" t="s">
        <v>2393</v>
      </c>
      <c r="D104" s="7" t="s">
        <v>2518</v>
      </c>
      <c r="E104" s="7">
        <v>850</v>
      </c>
    </row>
    <row r="105" spans="1:5">
      <c r="A105" s="12" t="str">
        <f>表格3[[#This Row],[站名]]&amp;表格3[[#This Row],[城市]]</f>
        <v>復興高雄市</v>
      </c>
      <c r="B105" s="7" t="s">
        <v>2436</v>
      </c>
      <c r="C105" s="7" t="s">
        <v>2395</v>
      </c>
      <c r="D105" s="7" t="s">
        <v>2465</v>
      </c>
      <c r="E105" s="7">
        <v>734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C614-6C7B-4A5D-BD95-0154E35DAF31}">
  <sheetPr>
    <tabColor theme="3" tint="0.89999084444715716"/>
  </sheetPr>
  <dimension ref="A1:T108"/>
  <sheetViews>
    <sheetView tabSelected="1" topLeftCell="A85" zoomScale="85" zoomScaleNormal="85" workbookViewId="0">
      <selection activeCell="N101" sqref="N101"/>
    </sheetView>
  </sheetViews>
  <sheetFormatPr defaultRowHeight="13.15"/>
  <cols>
    <col min="1" max="10" width="9.06640625" style="15"/>
    <col min="11" max="11" width="10.33203125" style="15" bestFit="1" customWidth="1"/>
    <col min="12" max="13" width="10.33203125" style="15" customWidth="1"/>
    <col min="14" max="14" width="9.1328125" style="15" bestFit="1" customWidth="1"/>
    <col min="15" max="16384" width="9.06640625" style="15"/>
  </cols>
  <sheetData>
    <row r="1" spans="1:20">
      <c r="C1" s="16" t="s">
        <v>2560</v>
      </c>
      <c r="H1" s="16" t="s">
        <v>2561</v>
      </c>
      <c r="M1" s="16" t="s">
        <v>2562</v>
      </c>
      <c r="R1" s="16" t="s">
        <v>2565</v>
      </c>
    </row>
    <row r="2" spans="1:20">
      <c r="A2" s="15" t="s">
        <v>2531</v>
      </c>
      <c r="B2" s="15" t="s">
        <v>2558</v>
      </c>
      <c r="C2" s="15" t="s">
        <v>2551</v>
      </c>
      <c r="D2" s="15" t="s">
        <v>2558</v>
      </c>
      <c r="E2" s="15" t="s">
        <v>2535</v>
      </c>
      <c r="F2" s="15" t="s">
        <v>2532</v>
      </c>
      <c r="G2" s="15" t="s">
        <v>2558</v>
      </c>
      <c r="H2" s="15" t="s">
        <v>2388</v>
      </c>
      <c r="I2" s="15" t="s">
        <v>2558</v>
      </c>
      <c r="J2" s="15" t="s">
        <v>2535</v>
      </c>
      <c r="K2" s="15" t="s">
        <v>2533</v>
      </c>
      <c r="L2" s="15" t="s">
        <v>2558</v>
      </c>
      <c r="M2" s="15" t="s">
        <v>1512</v>
      </c>
      <c r="N2" s="15" t="s">
        <v>2558</v>
      </c>
      <c r="O2" s="15" t="s">
        <v>2569</v>
      </c>
      <c r="P2" s="15" t="s">
        <v>2566</v>
      </c>
      <c r="Q2" s="15" t="s">
        <v>2558</v>
      </c>
      <c r="R2" s="15" t="s">
        <v>2568</v>
      </c>
      <c r="S2" s="15" t="s">
        <v>2558</v>
      </c>
      <c r="T2" s="15" t="s">
        <v>2559</v>
      </c>
    </row>
    <row r="3" spans="1:20">
      <c r="A3" s="15" t="s">
        <v>2531</v>
      </c>
      <c r="B3" s="15" t="s">
        <v>2558</v>
      </c>
      <c r="C3" s="15" t="s">
        <v>2551</v>
      </c>
      <c r="D3" s="15" t="s">
        <v>2558</v>
      </c>
      <c r="E3" s="15" t="s">
        <v>2535</v>
      </c>
      <c r="F3" s="15" t="s">
        <v>2532</v>
      </c>
      <c r="G3" s="15" t="s">
        <v>2558</v>
      </c>
      <c r="H3" s="15" t="s">
        <v>2388</v>
      </c>
      <c r="I3" s="15" t="s">
        <v>2558</v>
      </c>
      <c r="J3" s="15" t="s">
        <v>2535</v>
      </c>
      <c r="K3" s="15" t="s">
        <v>2533</v>
      </c>
      <c r="L3" s="15" t="s">
        <v>2558</v>
      </c>
      <c r="M3" s="15" t="s">
        <v>1443</v>
      </c>
      <c r="N3" s="15" t="s">
        <v>2558</v>
      </c>
      <c r="O3" s="15" t="s">
        <v>2569</v>
      </c>
      <c r="P3" s="15" t="s">
        <v>2566</v>
      </c>
      <c r="Q3" s="15" t="s">
        <v>2558</v>
      </c>
      <c r="R3" s="15" t="s">
        <v>2567</v>
      </c>
      <c r="S3" s="15" t="s">
        <v>2558</v>
      </c>
      <c r="T3" s="15" t="s">
        <v>2559</v>
      </c>
    </row>
    <row r="4" spans="1:20">
      <c r="A4" s="15" t="s">
        <v>2531</v>
      </c>
      <c r="B4" s="15" t="s">
        <v>2558</v>
      </c>
      <c r="C4" s="15" t="s">
        <v>2551</v>
      </c>
      <c r="D4" s="15" t="s">
        <v>2558</v>
      </c>
      <c r="E4" s="15" t="s">
        <v>2535</v>
      </c>
      <c r="F4" s="15" t="s">
        <v>2532</v>
      </c>
      <c r="G4" s="15" t="s">
        <v>2558</v>
      </c>
      <c r="H4" s="15" t="s">
        <v>2388</v>
      </c>
      <c r="I4" s="15" t="s">
        <v>2558</v>
      </c>
      <c r="J4" s="15" t="s">
        <v>2535</v>
      </c>
      <c r="K4" s="15" t="s">
        <v>2533</v>
      </c>
      <c r="L4" s="15" t="s">
        <v>2558</v>
      </c>
      <c r="M4" s="15" t="s">
        <v>1458</v>
      </c>
      <c r="N4" s="15" t="s">
        <v>2558</v>
      </c>
      <c r="O4" s="15" t="s">
        <v>2569</v>
      </c>
      <c r="P4" s="15" t="s">
        <v>2566</v>
      </c>
      <c r="Q4" s="15" t="s">
        <v>2558</v>
      </c>
      <c r="R4" s="15" t="s">
        <v>2567</v>
      </c>
      <c r="S4" s="15" t="s">
        <v>2558</v>
      </c>
      <c r="T4" s="15" t="s">
        <v>2559</v>
      </c>
    </row>
    <row r="5" spans="1:20">
      <c r="A5" s="15" t="s">
        <v>2531</v>
      </c>
      <c r="B5" s="15" t="s">
        <v>2558</v>
      </c>
      <c r="C5" s="15" t="s">
        <v>2551</v>
      </c>
      <c r="D5" s="15" t="s">
        <v>2558</v>
      </c>
      <c r="E5" s="15" t="s">
        <v>2535</v>
      </c>
      <c r="F5" s="15" t="s">
        <v>2532</v>
      </c>
      <c r="G5" s="15" t="s">
        <v>2558</v>
      </c>
      <c r="H5" s="15" t="s">
        <v>2388</v>
      </c>
      <c r="I5" s="15" t="s">
        <v>2558</v>
      </c>
      <c r="J5" s="15" t="s">
        <v>2535</v>
      </c>
      <c r="K5" s="15" t="s">
        <v>2533</v>
      </c>
      <c r="L5" s="15" t="s">
        <v>2558</v>
      </c>
      <c r="M5" s="15" t="s">
        <v>1463</v>
      </c>
      <c r="N5" s="15" t="s">
        <v>2558</v>
      </c>
      <c r="O5" s="15" t="s">
        <v>2569</v>
      </c>
      <c r="P5" s="15" t="s">
        <v>2566</v>
      </c>
      <c r="Q5" s="15" t="s">
        <v>2558</v>
      </c>
      <c r="R5" s="15" t="s">
        <v>2567</v>
      </c>
      <c r="S5" s="15" t="s">
        <v>2558</v>
      </c>
      <c r="T5" s="15" t="s">
        <v>2559</v>
      </c>
    </row>
    <row r="6" spans="1:20">
      <c r="A6" s="15" t="s">
        <v>2531</v>
      </c>
      <c r="B6" s="15" t="s">
        <v>2558</v>
      </c>
      <c r="C6" s="15" t="s">
        <v>2551</v>
      </c>
      <c r="D6" s="15" t="s">
        <v>2558</v>
      </c>
      <c r="E6" s="15" t="s">
        <v>2535</v>
      </c>
      <c r="F6" s="15" t="s">
        <v>2532</v>
      </c>
      <c r="G6" s="15" t="s">
        <v>2558</v>
      </c>
      <c r="H6" s="15" t="s">
        <v>2388</v>
      </c>
      <c r="I6" s="15" t="s">
        <v>2558</v>
      </c>
      <c r="J6" s="15" t="s">
        <v>2535</v>
      </c>
      <c r="K6" s="15" t="s">
        <v>2533</v>
      </c>
      <c r="L6" s="15" t="s">
        <v>2558</v>
      </c>
      <c r="M6" s="15" t="s">
        <v>1515</v>
      </c>
      <c r="N6" s="15" t="s">
        <v>2558</v>
      </c>
      <c r="O6" s="15" t="s">
        <v>2569</v>
      </c>
      <c r="P6" s="15" t="s">
        <v>2566</v>
      </c>
      <c r="Q6" s="15" t="s">
        <v>2558</v>
      </c>
      <c r="R6" s="15" t="s">
        <v>2567</v>
      </c>
      <c r="S6" s="15" t="s">
        <v>2558</v>
      </c>
      <c r="T6" s="15" t="s">
        <v>2559</v>
      </c>
    </row>
    <row r="7" spans="1:20">
      <c r="A7" s="15" t="s">
        <v>2531</v>
      </c>
      <c r="B7" s="15" t="s">
        <v>2558</v>
      </c>
      <c r="C7" s="15" t="s">
        <v>2551</v>
      </c>
      <c r="D7" s="15" t="s">
        <v>2558</v>
      </c>
      <c r="E7" s="15" t="s">
        <v>2535</v>
      </c>
      <c r="F7" s="15" t="s">
        <v>2532</v>
      </c>
      <c r="G7" s="15" t="s">
        <v>2558</v>
      </c>
      <c r="H7" s="15" t="s">
        <v>2388</v>
      </c>
      <c r="I7" s="15" t="s">
        <v>2558</v>
      </c>
      <c r="J7" s="15" t="s">
        <v>2535</v>
      </c>
      <c r="K7" s="15" t="s">
        <v>2533</v>
      </c>
      <c r="L7" s="15" t="s">
        <v>2558</v>
      </c>
      <c r="M7" s="15" t="s">
        <v>1519</v>
      </c>
      <c r="N7" s="15" t="s">
        <v>2558</v>
      </c>
      <c r="O7" s="15" t="s">
        <v>2569</v>
      </c>
      <c r="P7" s="15" t="s">
        <v>2566</v>
      </c>
      <c r="Q7" s="15" t="s">
        <v>2558</v>
      </c>
      <c r="R7" s="15" t="s">
        <v>2567</v>
      </c>
      <c r="S7" s="15" t="s">
        <v>2558</v>
      </c>
      <c r="T7" s="15" t="s">
        <v>2559</v>
      </c>
    </row>
    <row r="8" spans="1:20">
      <c r="A8" s="15" t="s">
        <v>2531</v>
      </c>
      <c r="B8" s="15" t="s">
        <v>2558</v>
      </c>
      <c r="C8" s="15" t="s">
        <v>2551</v>
      </c>
      <c r="D8" s="15" t="s">
        <v>2558</v>
      </c>
      <c r="E8" s="15" t="s">
        <v>2535</v>
      </c>
      <c r="F8" s="15" t="s">
        <v>2532</v>
      </c>
      <c r="G8" s="15" t="s">
        <v>2558</v>
      </c>
      <c r="H8" s="15" t="s">
        <v>2388</v>
      </c>
      <c r="I8" s="15" t="s">
        <v>2558</v>
      </c>
      <c r="J8" s="15" t="s">
        <v>2535</v>
      </c>
      <c r="K8" s="15" t="s">
        <v>2533</v>
      </c>
      <c r="L8" s="15" t="s">
        <v>2558</v>
      </c>
      <c r="M8" s="15" t="s">
        <v>1526</v>
      </c>
      <c r="N8" s="15" t="s">
        <v>2558</v>
      </c>
      <c r="O8" s="15" t="s">
        <v>2569</v>
      </c>
      <c r="P8" s="15" t="s">
        <v>2566</v>
      </c>
      <c r="Q8" s="15" t="s">
        <v>2558</v>
      </c>
      <c r="R8" s="15" t="s">
        <v>2567</v>
      </c>
      <c r="S8" s="15" t="s">
        <v>2558</v>
      </c>
      <c r="T8" s="15" t="s">
        <v>2559</v>
      </c>
    </row>
    <row r="9" spans="1:20">
      <c r="A9" s="15" t="s">
        <v>2531</v>
      </c>
      <c r="B9" s="15" t="s">
        <v>2558</v>
      </c>
      <c r="C9" s="15" t="s">
        <v>2551</v>
      </c>
      <c r="D9" s="15" t="s">
        <v>2558</v>
      </c>
      <c r="E9" s="15" t="s">
        <v>2535</v>
      </c>
      <c r="F9" s="15" t="s">
        <v>2532</v>
      </c>
      <c r="G9" s="15" t="s">
        <v>2558</v>
      </c>
      <c r="H9" s="15" t="s">
        <v>2388</v>
      </c>
      <c r="I9" s="15" t="s">
        <v>2558</v>
      </c>
      <c r="J9" s="15" t="s">
        <v>2535</v>
      </c>
      <c r="K9" s="15" t="s">
        <v>2533</v>
      </c>
      <c r="L9" s="15" t="s">
        <v>2558</v>
      </c>
      <c r="M9" s="15" t="s">
        <v>1537</v>
      </c>
      <c r="N9" s="15" t="s">
        <v>2558</v>
      </c>
      <c r="O9" s="15" t="s">
        <v>2569</v>
      </c>
      <c r="P9" s="15" t="s">
        <v>2566</v>
      </c>
      <c r="Q9" s="15" t="s">
        <v>2558</v>
      </c>
      <c r="R9" s="15" t="s">
        <v>2567</v>
      </c>
      <c r="S9" s="15" t="s">
        <v>2558</v>
      </c>
      <c r="T9" s="15" t="s">
        <v>2559</v>
      </c>
    </row>
    <row r="10" spans="1:20">
      <c r="A10" s="15" t="s">
        <v>2531</v>
      </c>
      <c r="B10" s="15" t="s">
        <v>2558</v>
      </c>
      <c r="C10" s="15" t="s">
        <v>2551</v>
      </c>
      <c r="D10" s="15" t="s">
        <v>2558</v>
      </c>
      <c r="E10" s="15" t="s">
        <v>2535</v>
      </c>
      <c r="F10" s="15" t="s">
        <v>2532</v>
      </c>
      <c r="G10" s="15" t="s">
        <v>2558</v>
      </c>
      <c r="H10" s="15" t="s">
        <v>2388</v>
      </c>
      <c r="I10" s="15" t="s">
        <v>2558</v>
      </c>
      <c r="J10" s="15" t="s">
        <v>2535</v>
      </c>
      <c r="K10" s="15" t="s">
        <v>2533</v>
      </c>
      <c r="L10" s="15" t="s">
        <v>2558</v>
      </c>
      <c r="M10" s="15" t="s">
        <v>1541</v>
      </c>
      <c r="N10" s="15" t="s">
        <v>2558</v>
      </c>
      <c r="O10" s="15" t="s">
        <v>2569</v>
      </c>
      <c r="P10" s="15" t="s">
        <v>2566</v>
      </c>
      <c r="Q10" s="15" t="s">
        <v>2558</v>
      </c>
      <c r="R10" s="15" t="s">
        <v>2567</v>
      </c>
      <c r="S10" s="15" t="s">
        <v>2558</v>
      </c>
      <c r="T10" s="15" t="s">
        <v>2559</v>
      </c>
    </row>
    <row r="11" spans="1:20">
      <c r="A11" s="15" t="s">
        <v>2531</v>
      </c>
      <c r="B11" s="15" t="s">
        <v>2558</v>
      </c>
      <c r="C11" s="15" t="s">
        <v>2551</v>
      </c>
      <c r="D11" s="15" t="s">
        <v>2558</v>
      </c>
      <c r="E11" s="15" t="s">
        <v>2535</v>
      </c>
      <c r="F11" s="15" t="s">
        <v>2532</v>
      </c>
      <c r="G11" s="15" t="s">
        <v>2558</v>
      </c>
      <c r="H11" s="15" t="s">
        <v>2388</v>
      </c>
      <c r="I11" s="15" t="s">
        <v>2558</v>
      </c>
      <c r="J11" s="15" t="s">
        <v>2535</v>
      </c>
      <c r="K11" s="15" t="s">
        <v>2533</v>
      </c>
      <c r="L11" s="15" t="s">
        <v>2558</v>
      </c>
      <c r="M11" s="15" t="s">
        <v>1545</v>
      </c>
      <c r="N11" s="15" t="s">
        <v>2558</v>
      </c>
      <c r="O11" s="15" t="s">
        <v>2569</v>
      </c>
      <c r="P11" s="15" t="s">
        <v>2566</v>
      </c>
      <c r="Q11" s="15" t="s">
        <v>2558</v>
      </c>
      <c r="R11" s="15" t="s">
        <v>2567</v>
      </c>
      <c r="S11" s="15" t="s">
        <v>2558</v>
      </c>
      <c r="T11" s="15" t="s">
        <v>2559</v>
      </c>
    </row>
    <row r="12" spans="1:20">
      <c r="A12" s="15" t="s">
        <v>2531</v>
      </c>
      <c r="B12" s="15" t="s">
        <v>2558</v>
      </c>
      <c r="C12" s="15" t="s">
        <v>2551</v>
      </c>
      <c r="D12" s="15" t="s">
        <v>2558</v>
      </c>
      <c r="E12" s="15" t="s">
        <v>2535</v>
      </c>
      <c r="F12" s="15" t="s">
        <v>2532</v>
      </c>
      <c r="G12" s="15" t="s">
        <v>2558</v>
      </c>
      <c r="H12" s="15" t="s">
        <v>2388</v>
      </c>
      <c r="I12" s="15" t="s">
        <v>2558</v>
      </c>
      <c r="J12" s="15" t="s">
        <v>2535</v>
      </c>
      <c r="K12" s="15" t="s">
        <v>2533</v>
      </c>
      <c r="L12" s="15" t="s">
        <v>2558</v>
      </c>
      <c r="M12" s="15" t="s">
        <v>1549</v>
      </c>
      <c r="N12" s="15" t="s">
        <v>2558</v>
      </c>
      <c r="O12" s="15" t="s">
        <v>2569</v>
      </c>
      <c r="P12" s="15" t="s">
        <v>2566</v>
      </c>
      <c r="Q12" s="15" t="s">
        <v>2558</v>
      </c>
      <c r="R12" s="15" t="s">
        <v>2567</v>
      </c>
      <c r="S12" s="15" t="s">
        <v>2558</v>
      </c>
      <c r="T12" s="15" t="s">
        <v>2559</v>
      </c>
    </row>
    <row r="13" spans="1:20">
      <c r="A13" s="15" t="s">
        <v>2531</v>
      </c>
      <c r="B13" s="15" t="s">
        <v>2558</v>
      </c>
      <c r="C13" s="15" t="s">
        <v>2551</v>
      </c>
      <c r="D13" s="15" t="s">
        <v>2558</v>
      </c>
      <c r="E13" s="15" t="s">
        <v>2535</v>
      </c>
      <c r="F13" s="15" t="s">
        <v>2532</v>
      </c>
      <c r="G13" s="15" t="s">
        <v>2558</v>
      </c>
      <c r="H13" s="15" t="s">
        <v>2388</v>
      </c>
      <c r="I13" s="15" t="s">
        <v>2558</v>
      </c>
      <c r="J13" s="15" t="s">
        <v>2535</v>
      </c>
      <c r="K13" s="15" t="s">
        <v>2533</v>
      </c>
      <c r="L13" s="15" t="s">
        <v>2558</v>
      </c>
      <c r="M13" s="15" t="s">
        <v>1553</v>
      </c>
      <c r="N13" s="15" t="s">
        <v>2558</v>
      </c>
      <c r="O13" s="15" t="s">
        <v>2569</v>
      </c>
      <c r="P13" s="15" t="s">
        <v>2566</v>
      </c>
      <c r="Q13" s="15" t="s">
        <v>2558</v>
      </c>
      <c r="R13" s="15" t="s">
        <v>2567</v>
      </c>
      <c r="S13" s="15" t="s">
        <v>2558</v>
      </c>
      <c r="T13" s="15" t="s">
        <v>2559</v>
      </c>
    </row>
    <row r="14" spans="1:20">
      <c r="A14" s="15" t="s">
        <v>2531</v>
      </c>
      <c r="B14" s="15" t="s">
        <v>2558</v>
      </c>
      <c r="C14" s="15" t="s">
        <v>2551</v>
      </c>
      <c r="D14" s="15" t="s">
        <v>2558</v>
      </c>
      <c r="E14" s="15" t="s">
        <v>2535</v>
      </c>
      <c r="F14" s="15" t="s">
        <v>2532</v>
      </c>
      <c r="G14" s="15" t="s">
        <v>2558</v>
      </c>
      <c r="H14" s="15" t="s">
        <v>2388</v>
      </c>
      <c r="I14" s="15" t="s">
        <v>2558</v>
      </c>
      <c r="J14" s="15" t="s">
        <v>2535</v>
      </c>
      <c r="K14" s="15" t="s">
        <v>2533</v>
      </c>
      <c r="L14" s="15" t="s">
        <v>2558</v>
      </c>
      <c r="M14" s="15" t="s">
        <v>1557</v>
      </c>
      <c r="N14" s="15" t="s">
        <v>2558</v>
      </c>
      <c r="O14" s="15" t="s">
        <v>2569</v>
      </c>
      <c r="P14" s="15" t="s">
        <v>2566</v>
      </c>
      <c r="Q14" s="15" t="s">
        <v>2558</v>
      </c>
      <c r="R14" s="15" t="s">
        <v>2567</v>
      </c>
      <c r="S14" s="15" t="s">
        <v>2558</v>
      </c>
      <c r="T14" s="15" t="s">
        <v>2559</v>
      </c>
    </row>
    <row r="15" spans="1:20">
      <c r="A15" s="15" t="s">
        <v>2531</v>
      </c>
      <c r="B15" s="15" t="s">
        <v>2558</v>
      </c>
      <c r="C15" s="15" t="s">
        <v>2551</v>
      </c>
      <c r="D15" s="15" t="s">
        <v>2558</v>
      </c>
      <c r="E15" s="15" t="s">
        <v>2535</v>
      </c>
      <c r="F15" s="15" t="s">
        <v>2532</v>
      </c>
      <c r="G15" s="15" t="s">
        <v>2558</v>
      </c>
      <c r="H15" s="15" t="s">
        <v>2388</v>
      </c>
      <c r="I15" s="15" t="s">
        <v>2558</v>
      </c>
      <c r="J15" s="15" t="s">
        <v>2535</v>
      </c>
      <c r="K15" s="15" t="s">
        <v>2533</v>
      </c>
      <c r="L15" s="15" t="s">
        <v>2558</v>
      </c>
      <c r="M15" s="15" t="s">
        <v>1561</v>
      </c>
      <c r="N15" s="15" t="s">
        <v>2558</v>
      </c>
      <c r="O15" s="15" t="s">
        <v>2569</v>
      </c>
      <c r="P15" s="15" t="s">
        <v>2566</v>
      </c>
      <c r="Q15" s="15" t="s">
        <v>2558</v>
      </c>
      <c r="R15" s="15" t="s">
        <v>2567</v>
      </c>
      <c r="S15" s="15" t="s">
        <v>2558</v>
      </c>
      <c r="T15" s="15" t="s">
        <v>2559</v>
      </c>
    </row>
    <row r="16" spans="1:20">
      <c r="A16" s="15" t="s">
        <v>2531</v>
      </c>
      <c r="B16" s="15" t="s">
        <v>2558</v>
      </c>
      <c r="C16" s="15" t="s">
        <v>2551</v>
      </c>
      <c r="D16" s="15" t="s">
        <v>2558</v>
      </c>
      <c r="E16" s="15" t="s">
        <v>2535</v>
      </c>
      <c r="F16" s="15" t="s">
        <v>2532</v>
      </c>
      <c r="G16" s="15" t="s">
        <v>2558</v>
      </c>
      <c r="H16" s="15" t="s">
        <v>2388</v>
      </c>
      <c r="I16" s="15" t="s">
        <v>2558</v>
      </c>
      <c r="J16" s="15" t="s">
        <v>2535</v>
      </c>
      <c r="K16" s="15" t="s">
        <v>2533</v>
      </c>
      <c r="L16" s="15" t="s">
        <v>2558</v>
      </c>
      <c r="M16" s="15" t="s">
        <v>1581</v>
      </c>
      <c r="N16" s="15" t="s">
        <v>2558</v>
      </c>
      <c r="O16" s="15" t="s">
        <v>2569</v>
      </c>
      <c r="P16" s="15" t="s">
        <v>2566</v>
      </c>
      <c r="Q16" s="15" t="s">
        <v>2558</v>
      </c>
      <c r="R16" s="15" t="s">
        <v>2567</v>
      </c>
      <c r="S16" s="15" t="s">
        <v>2558</v>
      </c>
      <c r="T16" s="15" t="s">
        <v>2559</v>
      </c>
    </row>
    <row r="17" spans="1:20">
      <c r="A17" s="15" t="s">
        <v>2531</v>
      </c>
      <c r="B17" s="15" t="s">
        <v>2558</v>
      </c>
      <c r="C17" s="15" t="s">
        <v>2551</v>
      </c>
      <c r="D17" s="15" t="s">
        <v>2558</v>
      </c>
      <c r="E17" s="15" t="s">
        <v>2535</v>
      </c>
      <c r="F17" s="15" t="s">
        <v>2532</v>
      </c>
      <c r="G17" s="15" t="s">
        <v>2558</v>
      </c>
      <c r="H17" s="15" t="s">
        <v>2388</v>
      </c>
      <c r="I17" s="15" t="s">
        <v>2558</v>
      </c>
      <c r="J17" s="15" t="s">
        <v>2535</v>
      </c>
      <c r="K17" s="15" t="s">
        <v>2533</v>
      </c>
      <c r="L17" s="15" t="s">
        <v>2558</v>
      </c>
      <c r="M17" s="15" t="s">
        <v>1585</v>
      </c>
      <c r="N17" s="15" t="s">
        <v>2558</v>
      </c>
      <c r="O17" s="15" t="s">
        <v>2569</v>
      </c>
      <c r="P17" s="15" t="s">
        <v>2566</v>
      </c>
      <c r="Q17" s="15" t="s">
        <v>2558</v>
      </c>
      <c r="R17" s="15" t="s">
        <v>2567</v>
      </c>
      <c r="S17" s="15" t="s">
        <v>2558</v>
      </c>
      <c r="T17" s="15" t="s">
        <v>2559</v>
      </c>
    </row>
    <row r="18" spans="1:20">
      <c r="A18" s="15" t="s">
        <v>2531</v>
      </c>
      <c r="B18" s="15" t="s">
        <v>2558</v>
      </c>
      <c r="C18" s="15" t="s">
        <v>2551</v>
      </c>
      <c r="D18" s="15" t="s">
        <v>2558</v>
      </c>
      <c r="E18" s="15" t="s">
        <v>2535</v>
      </c>
      <c r="F18" s="15" t="s">
        <v>2532</v>
      </c>
      <c r="G18" s="15" t="s">
        <v>2558</v>
      </c>
      <c r="H18" s="15" t="s">
        <v>2388</v>
      </c>
      <c r="I18" s="15" t="s">
        <v>2558</v>
      </c>
      <c r="J18" s="15" t="s">
        <v>2535</v>
      </c>
      <c r="K18" s="15" t="s">
        <v>2533</v>
      </c>
      <c r="L18" s="15" t="s">
        <v>2558</v>
      </c>
      <c r="M18" s="15" t="s">
        <v>1589</v>
      </c>
      <c r="N18" s="15" t="s">
        <v>2558</v>
      </c>
      <c r="O18" s="15" t="s">
        <v>2569</v>
      </c>
      <c r="P18" s="15" t="s">
        <v>2566</v>
      </c>
      <c r="Q18" s="15" t="s">
        <v>2558</v>
      </c>
      <c r="R18" s="15" t="s">
        <v>2567</v>
      </c>
      <c r="S18" s="15" t="s">
        <v>2558</v>
      </c>
      <c r="T18" s="15" t="s">
        <v>2559</v>
      </c>
    </row>
    <row r="19" spans="1:20">
      <c r="A19" s="15" t="s">
        <v>2531</v>
      </c>
      <c r="B19" s="15" t="s">
        <v>2558</v>
      </c>
      <c r="C19" s="15" t="s">
        <v>2551</v>
      </c>
      <c r="D19" s="15" t="s">
        <v>2558</v>
      </c>
      <c r="E19" s="15" t="s">
        <v>2535</v>
      </c>
      <c r="F19" s="15" t="s">
        <v>2532</v>
      </c>
      <c r="G19" s="15" t="s">
        <v>2558</v>
      </c>
      <c r="H19" s="15" t="s">
        <v>2388</v>
      </c>
      <c r="I19" s="15" t="s">
        <v>2558</v>
      </c>
      <c r="J19" s="15" t="s">
        <v>2535</v>
      </c>
      <c r="K19" s="15" t="s">
        <v>2533</v>
      </c>
      <c r="L19" s="15" t="s">
        <v>2558</v>
      </c>
      <c r="M19" s="15" t="s">
        <v>1593</v>
      </c>
      <c r="N19" s="15" t="s">
        <v>2558</v>
      </c>
      <c r="O19" s="15" t="s">
        <v>2569</v>
      </c>
      <c r="P19" s="15" t="s">
        <v>2566</v>
      </c>
      <c r="Q19" s="15" t="s">
        <v>2558</v>
      </c>
      <c r="R19" s="15" t="s">
        <v>2567</v>
      </c>
      <c r="S19" s="15" t="s">
        <v>2558</v>
      </c>
      <c r="T19" s="15" t="s">
        <v>2559</v>
      </c>
    </row>
    <row r="20" spans="1:20">
      <c r="A20" s="15" t="s">
        <v>2531</v>
      </c>
      <c r="B20" s="15" t="s">
        <v>2558</v>
      </c>
      <c r="C20" s="15" t="s">
        <v>2552</v>
      </c>
      <c r="D20" s="15" t="s">
        <v>2558</v>
      </c>
      <c r="E20" s="15" t="s">
        <v>2535</v>
      </c>
      <c r="F20" s="15" t="s">
        <v>2532</v>
      </c>
      <c r="G20" s="15" t="s">
        <v>2558</v>
      </c>
      <c r="H20" s="15" t="s">
        <v>2389</v>
      </c>
      <c r="I20" s="15" t="s">
        <v>2558</v>
      </c>
      <c r="J20" s="15" t="s">
        <v>2535</v>
      </c>
      <c r="K20" s="15" t="s">
        <v>2533</v>
      </c>
      <c r="L20" s="15" t="s">
        <v>2558</v>
      </c>
      <c r="M20" s="15" t="s">
        <v>1847</v>
      </c>
      <c r="N20" s="15" t="s">
        <v>2558</v>
      </c>
      <c r="O20" s="15" t="s">
        <v>2569</v>
      </c>
      <c r="P20" s="15" t="s">
        <v>2566</v>
      </c>
      <c r="Q20" s="15" t="s">
        <v>2558</v>
      </c>
      <c r="R20" s="15" t="s">
        <v>2568</v>
      </c>
      <c r="S20" s="15" t="s">
        <v>2558</v>
      </c>
      <c r="T20" s="15" t="s">
        <v>2559</v>
      </c>
    </row>
    <row r="21" spans="1:20">
      <c r="A21" s="15" t="s">
        <v>2531</v>
      </c>
      <c r="B21" s="15" t="s">
        <v>2558</v>
      </c>
      <c r="C21" s="15" t="s">
        <v>2552</v>
      </c>
      <c r="D21" s="15" t="s">
        <v>2558</v>
      </c>
      <c r="E21" s="15" t="s">
        <v>2535</v>
      </c>
      <c r="F21" s="15" t="s">
        <v>2532</v>
      </c>
      <c r="G21" s="15" t="s">
        <v>2558</v>
      </c>
      <c r="H21" s="15" t="s">
        <v>2389</v>
      </c>
      <c r="I21" s="15" t="s">
        <v>2558</v>
      </c>
      <c r="J21" s="15" t="s">
        <v>2535</v>
      </c>
      <c r="K21" s="15" t="s">
        <v>2533</v>
      </c>
      <c r="L21" s="15" t="s">
        <v>2558</v>
      </c>
      <c r="M21" s="15" t="s">
        <v>1359</v>
      </c>
      <c r="N21" s="15" t="s">
        <v>2558</v>
      </c>
      <c r="O21" s="15" t="s">
        <v>2569</v>
      </c>
      <c r="P21" s="15" t="s">
        <v>2566</v>
      </c>
      <c r="Q21" s="15" t="s">
        <v>2558</v>
      </c>
      <c r="R21" s="15" t="s">
        <v>2567</v>
      </c>
      <c r="S21" s="15" t="s">
        <v>2558</v>
      </c>
      <c r="T21" s="15" t="s">
        <v>2559</v>
      </c>
    </row>
    <row r="22" spans="1:20">
      <c r="A22" s="15" t="s">
        <v>2531</v>
      </c>
      <c r="B22" s="15" t="s">
        <v>2558</v>
      </c>
      <c r="C22" s="15" t="s">
        <v>2552</v>
      </c>
      <c r="D22" s="15" t="s">
        <v>2558</v>
      </c>
      <c r="E22" s="15" t="s">
        <v>2535</v>
      </c>
      <c r="F22" s="15" t="s">
        <v>2532</v>
      </c>
      <c r="G22" s="15" t="s">
        <v>2558</v>
      </c>
      <c r="H22" s="15" t="s">
        <v>2389</v>
      </c>
      <c r="I22" s="15" t="s">
        <v>2558</v>
      </c>
      <c r="J22" s="15" t="s">
        <v>2535</v>
      </c>
      <c r="K22" s="15" t="s">
        <v>2533</v>
      </c>
      <c r="L22" s="15" t="s">
        <v>2558</v>
      </c>
      <c r="M22" s="15" t="s">
        <v>1382</v>
      </c>
      <c r="N22" s="15" t="s">
        <v>2558</v>
      </c>
      <c r="O22" s="15" t="s">
        <v>2569</v>
      </c>
      <c r="P22" s="15" t="s">
        <v>2566</v>
      </c>
      <c r="Q22" s="15" t="s">
        <v>2558</v>
      </c>
      <c r="R22" s="15" t="s">
        <v>2567</v>
      </c>
      <c r="S22" s="15" t="s">
        <v>2558</v>
      </c>
      <c r="T22" s="15" t="s">
        <v>2559</v>
      </c>
    </row>
    <row r="23" spans="1:20">
      <c r="A23" s="15" t="s">
        <v>2531</v>
      </c>
      <c r="B23" s="15" t="s">
        <v>2558</v>
      </c>
      <c r="C23" s="15" t="s">
        <v>2552</v>
      </c>
      <c r="D23" s="15" t="s">
        <v>2558</v>
      </c>
      <c r="E23" s="15" t="s">
        <v>2535</v>
      </c>
      <c r="F23" s="15" t="s">
        <v>2532</v>
      </c>
      <c r="G23" s="15" t="s">
        <v>2558</v>
      </c>
      <c r="H23" s="15" t="s">
        <v>2389</v>
      </c>
      <c r="I23" s="15" t="s">
        <v>2558</v>
      </c>
      <c r="J23" s="15" t="s">
        <v>2535</v>
      </c>
      <c r="K23" s="15" t="s">
        <v>2533</v>
      </c>
      <c r="L23" s="15" t="s">
        <v>2558</v>
      </c>
      <c r="M23" s="15" t="s">
        <v>1399</v>
      </c>
      <c r="N23" s="15" t="s">
        <v>2558</v>
      </c>
      <c r="O23" s="15" t="s">
        <v>2569</v>
      </c>
      <c r="P23" s="15" t="s">
        <v>2566</v>
      </c>
      <c r="Q23" s="15" t="s">
        <v>2558</v>
      </c>
      <c r="R23" s="15" t="s">
        <v>2567</v>
      </c>
      <c r="S23" s="15" t="s">
        <v>2558</v>
      </c>
      <c r="T23" s="15" t="s">
        <v>2559</v>
      </c>
    </row>
    <row r="24" spans="1:20">
      <c r="A24" s="15" t="s">
        <v>2531</v>
      </c>
      <c r="B24" s="15" t="s">
        <v>2558</v>
      </c>
      <c r="C24" s="15" t="s">
        <v>2552</v>
      </c>
      <c r="D24" s="15" t="s">
        <v>2558</v>
      </c>
      <c r="E24" s="15" t="s">
        <v>2535</v>
      </c>
      <c r="F24" s="15" t="s">
        <v>2532</v>
      </c>
      <c r="G24" s="15" t="s">
        <v>2558</v>
      </c>
      <c r="H24" s="15" t="s">
        <v>2389</v>
      </c>
      <c r="I24" s="15" t="s">
        <v>2558</v>
      </c>
      <c r="J24" s="15" t="s">
        <v>2535</v>
      </c>
      <c r="K24" s="15" t="s">
        <v>2533</v>
      </c>
      <c r="L24" s="15" t="s">
        <v>2558</v>
      </c>
      <c r="M24" s="15" t="s">
        <v>1404</v>
      </c>
      <c r="N24" s="15" t="s">
        <v>2558</v>
      </c>
      <c r="O24" s="15" t="s">
        <v>2569</v>
      </c>
      <c r="P24" s="15" t="s">
        <v>2566</v>
      </c>
      <c r="Q24" s="15" t="s">
        <v>2558</v>
      </c>
      <c r="R24" s="15" t="s">
        <v>2567</v>
      </c>
      <c r="S24" s="15" t="s">
        <v>2558</v>
      </c>
      <c r="T24" s="15" t="s">
        <v>2559</v>
      </c>
    </row>
    <row r="25" spans="1:20">
      <c r="A25" s="15" t="s">
        <v>2531</v>
      </c>
      <c r="B25" s="15" t="s">
        <v>2558</v>
      </c>
      <c r="C25" s="15" t="s">
        <v>2552</v>
      </c>
      <c r="D25" s="15" t="s">
        <v>2558</v>
      </c>
      <c r="E25" s="15" t="s">
        <v>2535</v>
      </c>
      <c r="F25" s="15" t="s">
        <v>2532</v>
      </c>
      <c r="G25" s="15" t="s">
        <v>2558</v>
      </c>
      <c r="H25" s="15" t="s">
        <v>2389</v>
      </c>
      <c r="I25" s="15" t="s">
        <v>2558</v>
      </c>
      <c r="J25" s="15" t="s">
        <v>2535</v>
      </c>
      <c r="K25" s="15" t="s">
        <v>2533</v>
      </c>
      <c r="L25" s="15" t="s">
        <v>2558</v>
      </c>
      <c r="M25" s="15" t="s">
        <v>1431</v>
      </c>
      <c r="N25" s="15" t="s">
        <v>2558</v>
      </c>
      <c r="O25" s="15" t="s">
        <v>2569</v>
      </c>
      <c r="P25" s="15" t="s">
        <v>2566</v>
      </c>
      <c r="Q25" s="15" t="s">
        <v>2558</v>
      </c>
      <c r="R25" s="15" t="s">
        <v>2567</v>
      </c>
      <c r="S25" s="15" t="s">
        <v>2558</v>
      </c>
      <c r="T25" s="15" t="s">
        <v>2559</v>
      </c>
    </row>
    <row r="26" spans="1:20">
      <c r="A26" s="15" t="s">
        <v>2531</v>
      </c>
      <c r="B26" s="15" t="s">
        <v>2558</v>
      </c>
      <c r="C26" s="15" t="s">
        <v>2552</v>
      </c>
      <c r="D26" s="15" t="s">
        <v>2558</v>
      </c>
      <c r="E26" s="15" t="s">
        <v>2535</v>
      </c>
      <c r="F26" s="15" t="s">
        <v>2532</v>
      </c>
      <c r="G26" s="15" t="s">
        <v>2558</v>
      </c>
      <c r="H26" s="15" t="s">
        <v>2389</v>
      </c>
      <c r="I26" s="15" t="s">
        <v>2558</v>
      </c>
      <c r="J26" s="15" t="s">
        <v>2535</v>
      </c>
      <c r="K26" s="15" t="s">
        <v>2533</v>
      </c>
      <c r="L26" s="15" t="s">
        <v>2558</v>
      </c>
      <c r="M26" s="15" t="s">
        <v>1439</v>
      </c>
      <c r="N26" s="15" t="s">
        <v>2558</v>
      </c>
      <c r="O26" s="15" t="s">
        <v>2569</v>
      </c>
      <c r="P26" s="15" t="s">
        <v>2566</v>
      </c>
      <c r="Q26" s="15" t="s">
        <v>2558</v>
      </c>
      <c r="R26" s="15" t="s">
        <v>2567</v>
      </c>
      <c r="S26" s="15" t="s">
        <v>2558</v>
      </c>
      <c r="T26" s="15" t="s">
        <v>2559</v>
      </c>
    </row>
    <row r="27" spans="1:20">
      <c r="A27" s="15" t="s">
        <v>2531</v>
      </c>
      <c r="B27" s="15" t="s">
        <v>2558</v>
      </c>
      <c r="C27" s="15" t="s">
        <v>2552</v>
      </c>
      <c r="D27" s="15" t="s">
        <v>2558</v>
      </c>
      <c r="E27" s="15" t="s">
        <v>2535</v>
      </c>
      <c r="F27" s="15" t="s">
        <v>2532</v>
      </c>
      <c r="G27" s="15" t="s">
        <v>2558</v>
      </c>
      <c r="H27" s="15" t="s">
        <v>2389</v>
      </c>
      <c r="I27" s="15" t="s">
        <v>2558</v>
      </c>
      <c r="J27" s="15" t="s">
        <v>2535</v>
      </c>
      <c r="K27" s="15" t="s">
        <v>2533</v>
      </c>
      <c r="L27" s="15" t="s">
        <v>2558</v>
      </c>
      <c r="M27" s="15" t="s">
        <v>1842</v>
      </c>
      <c r="N27" s="15" t="s">
        <v>2558</v>
      </c>
      <c r="O27" s="15" t="s">
        <v>2569</v>
      </c>
      <c r="P27" s="15" t="s">
        <v>2566</v>
      </c>
      <c r="Q27" s="15" t="s">
        <v>2558</v>
      </c>
      <c r="R27" s="15" t="s">
        <v>2567</v>
      </c>
      <c r="S27" s="15" t="s">
        <v>2558</v>
      </c>
      <c r="T27" s="15" t="s">
        <v>2559</v>
      </c>
    </row>
    <row r="28" spans="1:20">
      <c r="A28" s="15" t="s">
        <v>2531</v>
      </c>
      <c r="B28" s="15" t="s">
        <v>2558</v>
      </c>
      <c r="C28" s="15" t="s">
        <v>2552</v>
      </c>
      <c r="D28" s="15" t="s">
        <v>2558</v>
      </c>
      <c r="E28" s="15" t="s">
        <v>2535</v>
      </c>
      <c r="F28" s="15" t="s">
        <v>2532</v>
      </c>
      <c r="G28" s="15" t="s">
        <v>2558</v>
      </c>
      <c r="H28" s="15" t="s">
        <v>2389</v>
      </c>
      <c r="I28" s="15" t="s">
        <v>2558</v>
      </c>
      <c r="J28" s="15" t="s">
        <v>2535</v>
      </c>
      <c r="K28" s="15" t="s">
        <v>2533</v>
      </c>
      <c r="L28" s="15" t="s">
        <v>2558</v>
      </c>
      <c r="M28" s="15" t="s">
        <v>1894</v>
      </c>
      <c r="N28" s="15" t="s">
        <v>2558</v>
      </c>
      <c r="O28" s="15" t="s">
        <v>2569</v>
      </c>
      <c r="P28" s="15" t="s">
        <v>2566</v>
      </c>
      <c r="Q28" s="15" t="s">
        <v>2558</v>
      </c>
      <c r="R28" s="15" t="s">
        <v>2567</v>
      </c>
      <c r="S28" s="15" t="s">
        <v>2558</v>
      </c>
      <c r="T28" s="15" t="s">
        <v>2559</v>
      </c>
    </row>
    <row r="29" spans="1:20">
      <c r="A29" s="15" t="s">
        <v>2531</v>
      </c>
      <c r="B29" s="15" t="s">
        <v>2558</v>
      </c>
      <c r="C29" s="15" t="s">
        <v>2552</v>
      </c>
      <c r="D29" s="15" t="s">
        <v>2558</v>
      </c>
      <c r="E29" s="15" t="s">
        <v>2535</v>
      </c>
      <c r="F29" s="15" t="s">
        <v>2532</v>
      </c>
      <c r="G29" s="15" t="s">
        <v>2558</v>
      </c>
      <c r="H29" s="15" t="s">
        <v>2389</v>
      </c>
      <c r="I29" s="15" t="s">
        <v>2558</v>
      </c>
      <c r="J29" s="15" t="s">
        <v>2535</v>
      </c>
      <c r="K29" s="15" t="s">
        <v>2533</v>
      </c>
      <c r="L29" s="15" t="s">
        <v>2558</v>
      </c>
      <c r="M29" s="15" t="s">
        <v>1901</v>
      </c>
      <c r="N29" s="15" t="s">
        <v>2558</v>
      </c>
      <c r="O29" s="15" t="s">
        <v>2569</v>
      </c>
      <c r="P29" s="15" t="s">
        <v>2566</v>
      </c>
      <c r="Q29" s="15" t="s">
        <v>2558</v>
      </c>
      <c r="R29" s="15" t="s">
        <v>2567</v>
      </c>
      <c r="S29" s="15" t="s">
        <v>2558</v>
      </c>
      <c r="T29" s="15" t="s">
        <v>2559</v>
      </c>
    </row>
    <row r="30" spans="1:20">
      <c r="A30" s="15" t="s">
        <v>2531</v>
      </c>
      <c r="B30" s="15" t="s">
        <v>2558</v>
      </c>
      <c r="C30" s="15" t="s">
        <v>2552</v>
      </c>
      <c r="D30" s="15" t="s">
        <v>2558</v>
      </c>
      <c r="E30" s="15" t="s">
        <v>2535</v>
      </c>
      <c r="F30" s="15" t="s">
        <v>2532</v>
      </c>
      <c r="G30" s="15" t="s">
        <v>2558</v>
      </c>
      <c r="H30" s="15" t="s">
        <v>2389</v>
      </c>
      <c r="I30" s="15" t="s">
        <v>2558</v>
      </c>
      <c r="J30" s="15" t="s">
        <v>2535</v>
      </c>
      <c r="K30" s="15" t="s">
        <v>2533</v>
      </c>
      <c r="L30" s="15" t="s">
        <v>2558</v>
      </c>
      <c r="M30" s="15" t="s">
        <v>1913</v>
      </c>
      <c r="N30" s="15" t="s">
        <v>2558</v>
      </c>
      <c r="O30" s="15" t="s">
        <v>2569</v>
      </c>
      <c r="P30" s="15" t="s">
        <v>2566</v>
      </c>
      <c r="Q30" s="15" t="s">
        <v>2558</v>
      </c>
      <c r="R30" s="15" t="s">
        <v>2567</v>
      </c>
      <c r="S30" s="15" t="s">
        <v>2558</v>
      </c>
      <c r="T30" s="15" t="s">
        <v>2559</v>
      </c>
    </row>
    <row r="31" spans="1:20">
      <c r="A31" s="15" t="s">
        <v>2531</v>
      </c>
      <c r="B31" s="15" t="s">
        <v>2558</v>
      </c>
      <c r="C31" s="15" t="s">
        <v>2552</v>
      </c>
      <c r="D31" s="15" t="s">
        <v>2558</v>
      </c>
      <c r="E31" s="15" t="s">
        <v>2535</v>
      </c>
      <c r="F31" s="15" t="s">
        <v>2532</v>
      </c>
      <c r="G31" s="15" t="s">
        <v>2558</v>
      </c>
      <c r="H31" s="15" t="s">
        <v>2389</v>
      </c>
      <c r="I31" s="15" t="s">
        <v>2558</v>
      </c>
      <c r="J31" s="15" t="s">
        <v>2535</v>
      </c>
      <c r="K31" s="15" t="s">
        <v>2533</v>
      </c>
      <c r="L31" s="15" t="s">
        <v>2558</v>
      </c>
      <c r="M31" s="15" t="s">
        <v>1925</v>
      </c>
      <c r="N31" s="15" t="s">
        <v>2558</v>
      </c>
      <c r="O31" s="15" t="s">
        <v>2569</v>
      </c>
      <c r="P31" s="15" t="s">
        <v>2566</v>
      </c>
      <c r="Q31" s="15" t="s">
        <v>2558</v>
      </c>
      <c r="R31" s="15" t="s">
        <v>2567</v>
      </c>
      <c r="S31" s="15" t="s">
        <v>2558</v>
      </c>
      <c r="T31" s="15" t="s">
        <v>2559</v>
      </c>
    </row>
    <row r="32" spans="1:20">
      <c r="A32" s="15" t="s">
        <v>2531</v>
      </c>
      <c r="B32" s="15" t="s">
        <v>2558</v>
      </c>
      <c r="C32" s="15" t="s">
        <v>2555</v>
      </c>
      <c r="D32" s="15" t="s">
        <v>2558</v>
      </c>
      <c r="E32" s="15" t="s">
        <v>2535</v>
      </c>
      <c r="F32" s="15" t="s">
        <v>2532</v>
      </c>
      <c r="G32" s="15" t="s">
        <v>2558</v>
      </c>
      <c r="H32" s="15" t="s">
        <v>2390</v>
      </c>
      <c r="I32" s="15" t="s">
        <v>2558</v>
      </c>
      <c r="J32" s="15" t="s">
        <v>2535</v>
      </c>
      <c r="K32" s="15" t="s">
        <v>2533</v>
      </c>
      <c r="L32" s="15" t="s">
        <v>2558</v>
      </c>
      <c r="M32" s="15" t="s">
        <v>1739</v>
      </c>
      <c r="N32" s="15" t="s">
        <v>2558</v>
      </c>
      <c r="O32" s="15" t="s">
        <v>2569</v>
      </c>
      <c r="P32" s="15" t="s">
        <v>2566</v>
      </c>
      <c r="Q32" s="15" t="s">
        <v>2558</v>
      </c>
      <c r="R32" s="15" t="s">
        <v>2568</v>
      </c>
      <c r="S32" s="15" t="s">
        <v>2558</v>
      </c>
      <c r="T32" s="15" t="s">
        <v>2559</v>
      </c>
    </row>
    <row r="33" spans="1:20">
      <c r="A33" s="15" t="s">
        <v>2531</v>
      </c>
      <c r="B33" s="15" t="s">
        <v>2558</v>
      </c>
      <c r="C33" s="15" t="s">
        <v>2544</v>
      </c>
      <c r="D33" s="15" t="s">
        <v>2558</v>
      </c>
      <c r="E33" s="15" t="s">
        <v>2535</v>
      </c>
      <c r="F33" s="15" t="s">
        <v>2532</v>
      </c>
      <c r="G33" s="15" t="s">
        <v>2558</v>
      </c>
      <c r="H33" s="15" t="s">
        <v>2391</v>
      </c>
      <c r="I33" s="15" t="s">
        <v>2558</v>
      </c>
      <c r="J33" s="15" t="s">
        <v>2535</v>
      </c>
      <c r="K33" s="15" t="s">
        <v>2533</v>
      </c>
      <c r="L33" s="15" t="s">
        <v>2558</v>
      </c>
      <c r="M33" s="15" t="s">
        <v>688</v>
      </c>
      <c r="N33" s="15" t="s">
        <v>2558</v>
      </c>
      <c r="O33" s="15" t="s">
        <v>2569</v>
      </c>
      <c r="P33" s="15" t="s">
        <v>2566</v>
      </c>
      <c r="Q33" s="15" t="s">
        <v>2558</v>
      </c>
      <c r="R33" s="15" t="s">
        <v>2568</v>
      </c>
      <c r="S33" s="15" t="s">
        <v>2558</v>
      </c>
      <c r="T33" s="15" t="s">
        <v>2559</v>
      </c>
    </row>
    <row r="34" spans="1:20">
      <c r="A34" s="15" t="s">
        <v>2531</v>
      </c>
      <c r="B34" s="15" t="s">
        <v>2558</v>
      </c>
      <c r="C34" s="15" t="s">
        <v>2544</v>
      </c>
      <c r="D34" s="15" t="s">
        <v>2558</v>
      </c>
      <c r="E34" s="15" t="s">
        <v>2535</v>
      </c>
      <c r="F34" s="15" t="s">
        <v>2532</v>
      </c>
      <c r="G34" s="15" t="s">
        <v>2558</v>
      </c>
      <c r="H34" s="15" t="s">
        <v>2391</v>
      </c>
      <c r="I34" s="15" t="s">
        <v>2558</v>
      </c>
      <c r="J34" s="15" t="s">
        <v>2535</v>
      </c>
      <c r="K34" s="15" t="s">
        <v>2533</v>
      </c>
      <c r="L34" s="15" t="s">
        <v>2558</v>
      </c>
      <c r="M34" s="15" t="s">
        <v>703</v>
      </c>
      <c r="N34" s="15" t="s">
        <v>2558</v>
      </c>
      <c r="O34" s="15" t="s">
        <v>2569</v>
      </c>
      <c r="P34" s="15" t="s">
        <v>2566</v>
      </c>
      <c r="Q34" s="15" t="s">
        <v>2558</v>
      </c>
      <c r="R34" s="15" t="s">
        <v>2567</v>
      </c>
      <c r="S34" s="15" t="s">
        <v>2558</v>
      </c>
      <c r="T34" s="15" t="s">
        <v>2559</v>
      </c>
    </row>
    <row r="35" spans="1:20">
      <c r="A35" s="15" t="s">
        <v>2531</v>
      </c>
      <c r="B35" s="15" t="s">
        <v>2558</v>
      </c>
      <c r="C35" s="15" t="s">
        <v>2544</v>
      </c>
      <c r="D35" s="15" t="s">
        <v>2558</v>
      </c>
      <c r="E35" s="15" t="s">
        <v>2535</v>
      </c>
      <c r="F35" s="15" t="s">
        <v>2532</v>
      </c>
      <c r="G35" s="15" t="s">
        <v>2558</v>
      </c>
      <c r="H35" s="15" t="s">
        <v>2391</v>
      </c>
      <c r="I35" s="15" t="s">
        <v>2558</v>
      </c>
      <c r="J35" s="15" t="s">
        <v>2535</v>
      </c>
      <c r="K35" s="15" t="s">
        <v>2533</v>
      </c>
      <c r="L35" s="15" t="s">
        <v>2558</v>
      </c>
      <c r="M35" s="15" t="s">
        <v>713</v>
      </c>
      <c r="N35" s="15" t="s">
        <v>2558</v>
      </c>
      <c r="O35" s="15" t="s">
        <v>2569</v>
      </c>
      <c r="P35" s="15" t="s">
        <v>2566</v>
      </c>
      <c r="Q35" s="15" t="s">
        <v>2558</v>
      </c>
      <c r="R35" s="15" t="s">
        <v>2567</v>
      </c>
      <c r="S35" s="15" t="s">
        <v>2558</v>
      </c>
      <c r="T35" s="15" t="s">
        <v>2559</v>
      </c>
    </row>
    <row r="36" spans="1:20">
      <c r="A36" s="15" t="s">
        <v>2531</v>
      </c>
      <c r="B36" s="15" t="s">
        <v>2558</v>
      </c>
      <c r="C36" s="15" t="s">
        <v>2544</v>
      </c>
      <c r="D36" s="15" t="s">
        <v>2558</v>
      </c>
      <c r="E36" s="15" t="s">
        <v>2535</v>
      </c>
      <c r="F36" s="15" t="s">
        <v>2532</v>
      </c>
      <c r="G36" s="15" t="s">
        <v>2558</v>
      </c>
      <c r="H36" s="15" t="s">
        <v>2391</v>
      </c>
      <c r="I36" s="15" t="s">
        <v>2558</v>
      </c>
      <c r="J36" s="15" t="s">
        <v>2535</v>
      </c>
      <c r="K36" s="15" t="s">
        <v>2533</v>
      </c>
      <c r="L36" s="15" t="s">
        <v>2558</v>
      </c>
      <c r="M36" s="15" t="s">
        <v>717</v>
      </c>
      <c r="N36" s="15" t="s">
        <v>2558</v>
      </c>
      <c r="O36" s="15" t="s">
        <v>2569</v>
      </c>
      <c r="P36" s="15" t="s">
        <v>2566</v>
      </c>
      <c r="Q36" s="15" t="s">
        <v>2558</v>
      </c>
      <c r="R36" s="15" t="s">
        <v>2567</v>
      </c>
      <c r="S36" s="15" t="s">
        <v>2558</v>
      </c>
      <c r="T36" s="15" t="s">
        <v>2559</v>
      </c>
    </row>
    <row r="37" spans="1:20">
      <c r="A37" s="15" t="s">
        <v>2531</v>
      </c>
      <c r="B37" s="15" t="s">
        <v>2558</v>
      </c>
      <c r="C37" s="15" t="s">
        <v>2544</v>
      </c>
      <c r="D37" s="15" t="s">
        <v>2558</v>
      </c>
      <c r="E37" s="15" t="s">
        <v>2535</v>
      </c>
      <c r="F37" s="15" t="s">
        <v>2532</v>
      </c>
      <c r="G37" s="15" t="s">
        <v>2558</v>
      </c>
      <c r="H37" s="15" t="s">
        <v>2391</v>
      </c>
      <c r="I37" s="15" t="s">
        <v>2558</v>
      </c>
      <c r="J37" s="15" t="s">
        <v>2535</v>
      </c>
      <c r="K37" s="15" t="s">
        <v>2533</v>
      </c>
      <c r="L37" s="15" t="s">
        <v>2558</v>
      </c>
      <c r="M37" s="15" t="s">
        <v>729</v>
      </c>
      <c r="N37" s="15" t="s">
        <v>2558</v>
      </c>
      <c r="O37" s="15" t="s">
        <v>2569</v>
      </c>
      <c r="P37" s="15" t="s">
        <v>2566</v>
      </c>
      <c r="Q37" s="15" t="s">
        <v>2558</v>
      </c>
      <c r="R37" s="15" t="s">
        <v>2567</v>
      </c>
      <c r="S37" s="15" t="s">
        <v>2558</v>
      </c>
      <c r="T37" s="15" t="s">
        <v>2559</v>
      </c>
    </row>
    <row r="38" spans="1:20">
      <c r="A38" s="15" t="s">
        <v>2531</v>
      </c>
      <c r="B38" s="15" t="s">
        <v>2558</v>
      </c>
      <c r="C38" s="15" t="s">
        <v>2544</v>
      </c>
      <c r="D38" s="15" t="s">
        <v>2558</v>
      </c>
      <c r="E38" s="15" t="s">
        <v>2535</v>
      </c>
      <c r="F38" s="15" t="s">
        <v>2532</v>
      </c>
      <c r="G38" s="15" t="s">
        <v>2558</v>
      </c>
      <c r="H38" s="15" t="s">
        <v>2391</v>
      </c>
      <c r="I38" s="15" t="s">
        <v>2558</v>
      </c>
      <c r="J38" s="15" t="s">
        <v>2535</v>
      </c>
      <c r="K38" s="15" t="s">
        <v>2533</v>
      </c>
      <c r="L38" s="15" t="s">
        <v>2558</v>
      </c>
      <c r="M38" s="15" t="s">
        <v>736</v>
      </c>
      <c r="N38" s="15" t="s">
        <v>2558</v>
      </c>
      <c r="O38" s="15" t="s">
        <v>2569</v>
      </c>
      <c r="P38" s="15" t="s">
        <v>2566</v>
      </c>
      <c r="Q38" s="15" t="s">
        <v>2558</v>
      </c>
      <c r="R38" s="15" t="s">
        <v>2567</v>
      </c>
      <c r="S38" s="15" t="s">
        <v>2558</v>
      </c>
      <c r="T38" s="15" t="s">
        <v>2559</v>
      </c>
    </row>
    <row r="39" spans="1:20">
      <c r="A39" s="15" t="s">
        <v>2531</v>
      </c>
      <c r="B39" s="15" t="s">
        <v>2558</v>
      </c>
      <c r="C39" s="15" t="s">
        <v>2544</v>
      </c>
      <c r="D39" s="15" t="s">
        <v>2558</v>
      </c>
      <c r="E39" s="15" t="s">
        <v>2535</v>
      </c>
      <c r="F39" s="15" t="s">
        <v>2532</v>
      </c>
      <c r="G39" s="15" t="s">
        <v>2558</v>
      </c>
      <c r="H39" s="15" t="s">
        <v>2391</v>
      </c>
      <c r="I39" s="15" t="s">
        <v>2558</v>
      </c>
      <c r="J39" s="15" t="s">
        <v>2535</v>
      </c>
      <c r="K39" s="15" t="s">
        <v>2533</v>
      </c>
      <c r="L39" s="15" t="s">
        <v>2558</v>
      </c>
      <c r="M39" s="15" t="s">
        <v>751</v>
      </c>
      <c r="N39" s="15" t="s">
        <v>2558</v>
      </c>
      <c r="O39" s="15" t="s">
        <v>2569</v>
      </c>
      <c r="P39" s="15" t="s">
        <v>2566</v>
      </c>
      <c r="Q39" s="15" t="s">
        <v>2558</v>
      </c>
      <c r="R39" s="15" t="s">
        <v>2567</v>
      </c>
      <c r="S39" s="15" t="s">
        <v>2558</v>
      </c>
      <c r="T39" s="15" t="s">
        <v>2559</v>
      </c>
    </row>
    <row r="40" spans="1:20">
      <c r="A40" s="15" t="s">
        <v>2531</v>
      </c>
      <c r="B40" s="15" t="s">
        <v>2558</v>
      </c>
      <c r="C40" s="15" t="s">
        <v>2544</v>
      </c>
      <c r="D40" s="15" t="s">
        <v>2558</v>
      </c>
      <c r="E40" s="15" t="s">
        <v>2535</v>
      </c>
      <c r="F40" s="15" t="s">
        <v>2532</v>
      </c>
      <c r="G40" s="15" t="s">
        <v>2558</v>
      </c>
      <c r="H40" s="15" t="s">
        <v>2391</v>
      </c>
      <c r="I40" s="15" t="s">
        <v>2558</v>
      </c>
      <c r="J40" s="15" t="s">
        <v>2535</v>
      </c>
      <c r="K40" s="15" t="s">
        <v>2533</v>
      </c>
      <c r="L40" s="15" t="s">
        <v>2558</v>
      </c>
      <c r="M40" s="15" t="s">
        <v>755</v>
      </c>
      <c r="N40" s="15" t="s">
        <v>2558</v>
      </c>
      <c r="O40" s="15" t="s">
        <v>2569</v>
      </c>
      <c r="P40" s="15" t="s">
        <v>2566</v>
      </c>
      <c r="Q40" s="15" t="s">
        <v>2558</v>
      </c>
      <c r="R40" s="15" t="s">
        <v>2567</v>
      </c>
      <c r="S40" s="15" t="s">
        <v>2558</v>
      </c>
      <c r="T40" s="15" t="s">
        <v>2559</v>
      </c>
    </row>
    <row r="41" spans="1:20">
      <c r="A41" s="15" t="s">
        <v>2531</v>
      </c>
      <c r="B41" s="15" t="s">
        <v>2558</v>
      </c>
      <c r="C41" s="15" t="s">
        <v>2550</v>
      </c>
      <c r="D41" s="15" t="s">
        <v>2558</v>
      </c>
      <c r="E41" s="15" t="s">
        <v>2535</v>
      </c>
      <c r="F41" s="15" t="s">
        <v>2532</v>
      </c>
      <c r="G41" s="15" t="s">
        <v>2558</v>
      </c>
      <c r="H41" s="15" t="s">
        <v>2392</v>
      </c>
      <c r="I41" s="15" t="s">
        <v>2558</v>
      </c>
      <c r="J41" s="15" t="s">
        <v>2535</v>
      </c>
      <c r="K41" s="15" t="s">
        <v>2533</v>
      </c>
      <c r="L41" s="15" t="s">
        <v>2558</v>
      </c>
      <c r="M41" s="15" t="s">
        <v>1071</v>
      </c>
      <c r="N41" s="15" t="s">
        <v>2558</v>
      </c>
      <c r="O41" s="15" t="s">
        <v>2569</v>
      </c>
      <c r="P41" s="15" t="s">
        <v>2566</v>
      </c>
      <c r="Q41" s="15" t="s">
        <v>2558</v>
      </c>
      <c r="R41" s="15" t="s">
        <v>2568</v>
      </c>
      <c r="S41" s="15" t="s">
        <v>2558</v>
      </c>
      <c r="T41" s="15" t="s">
        <v>2559</v>
      </c>
    </row>
    <row r="42" spans="1:20">
      <c r="A42" s="15" t="s">
        <v>2531</v>
      </c>
      <c r="B42" s="15" t="s">
        <v>2558</v>
      </c>
      <c r="C42" s="15" t="s">
        <v>2550</v>
      </c>
      <c r="D42" s="15" t="s">
        <v>2558</v>
      </c>
      <c r="E42" s="15" t="s">
        <v>2535</v>
      </c>
      <c r="F42" s="15" t="s">
        <v>2532</v>
      </c>
      <c r="G42" s="15" t="s">
        <v>2558</v>
      </c>
      <c r="H42" s="15" t="s">
        <v>2392</v>
      </c>
      <c r="I42" s="15" t="s">
        <v>2558</v>
      </c>
      <c r="J42" s="15" t="s">
        <v>2535</v>
      </c>
      <c r="K42" s="15" t="s">
        <v>2533</v>
      </c>
      <c r="L42" s="15" t="s">
        <v>2558</v>
      </c>
      <c r="M42" s="15" t="s">
        <v>978</v>
      </c>
      <c r="N42" s="15" t="s">
        <v>2558</v>
      </c>
      <c r="O42" s="15" t="s">
        <v>2569</v>
      </c>
      <c r="P42" s="15" t="s">
        <v>2566</v>
      </c>
      <c r="Q42" s="15" t="s">
        <v>2558</v>
      </c>
      <c r="R42" s="15" t="s">
        <v>2567</v>
      </c>
      <c r="S42" s="15" t="s">
        <v>2558</v>
      </c>
      <c r="T42" s="15" t="s">
        <v>2559</v>
      </c>
    </row>
    <row r="43" spans="1:20">
      <c r="A43" s="15" t="s">
        <v>2531</v>
      </c>
      <c r="B43" s="15" t="s">
        <v>2558</v>
      </c>
      <c r="C43" s="15" t="s">
        <v>2550</v>
      </c>
      <c r="D43" s="15" t="s">
        <v>2558</v>
      </c>
      <c r="E43" s="15" t="s">
        <v>2535</v>
      </c>
      <c r="F43" s="15" t="s">
        <v>2532</v>
      </c>
      <c r="G43" s="15" t="s">
        <v>2558</v>
      </c>
      <c r="H43" s="15" t="s">
        <v>2392</v>
      </c>
      <c r="I43" s="15" t="s">
        <v>2558</v>
      </c>
      <c r="J43" s="15" t="s">
        <v>2535</v>
      </c>
      <c r="K43" s="15" t="s">
        <v>2533</v>
      </c>
      <c r="L43" s="15" t="s">
        <v>2558</v>
      </c>
      <c r="M43" s="15" t="s">
        <v>984</v>
      </c>
      <c r="N43" s="15" t="s">
        <v>2558</v>
      </c>
      <c r="O43" s="15" t="s">
        <v>2569</v>
      </c>
      <c r="P43" s="15" t="s">
        <v>2566</v>
      </c>
      <c r="Q43" s="15" t="s">
        <v>2558</v>
      </c>
      <c r="R43" s="15" t="s">
        <v>2567</v>
      </c>
      <c r="S43" s="15" t="s">
        <v>2558</v>
      </c>
      <c r="T43" s="15" t="s">
        <v>2559</v>
      </c>
    </row>
    <row r="44" spans="1:20">
      <c r="A44" s="15" t="s">
        <v>2531</v>
      </c>
      <c r="B44" s="15" t="s">
        <v>2558</v>
      </c>
      <c r="C44" s="15" t="s">
        <v>2550</v>
      </c>
      <c r="D44" s="15" t="s">
        <v>2558</v>
      </c>
      <c r="E44" s="15" t="s">
        <v>2535</v>
      </c>
      <c r="F44" s="15" t="s">
        <v>2532</v>
      </c>
      <c r="G44" s="15" t="s">
        <v>2558</v>
      </c>
      <c r="H44" s="15" t="s">
        <v>2392</v>
      </c>
      <c r="I44" s="15" t="s">
        <v>2558</v>
      </c>
      <c r="J44" s="15" t="s">
        <v>2535</v>
      </c>
      <c r="K44" s="15" t="s">
        <v>2533</v>
      </c>
      <c r="L44" s="15" t="s">
        <v>2558</v>
      </c>
      <c r="M44" s="15" t="s">
        <v>989</v>
      </c>
      <c r="N44" s="15" t="s">
        <v>2558</v>
      </c>
      <c r="O44" s="15" t="s">
        <v>2569</v>
      </c>
      <c r="P44" s="15" t="s">
        <v>2566</v>
      </c>
      <c r="Q44" s="15" t="s">
        <v>2558</v>
      </c>
      <c r="R44" s="15" t="s">
        <v>2567</v>
      </c>
      <c r="S44" s="15" t="s">
        <v>2558</v>
      </c>
      <c r="T44" s="15" t="s">
        <v>2559</v>
      </c>
    </row>
    <row r="45" spans="1:20">
      <c r="A45" s="15" t="s">
        <v>2531</v>
      </c>
      <c r="B45" s="15" t="s">
        <v>2558</v>
      </c>
      <c r="C45" s="15" t="s">
        <v>2550</v>
      </c>
      <c r="D45" s="15" t="s">
        <v>2558</v>
      </c>
      <c r="E45" s="15" t="s">
        <v>2535</v>
      </c>
      <c r="F45" s="15" t="s">
        <v>2532</v>
      </c>
      <c r="G45" s="15" t="s">
        <v>2558</v>
      </c>
      <c r="H45" s="15" t="s">
        <v>2392</v>
      </c>
      <c r="I45" s="15" t="s">
        <v>2558</v>
      </c>
      <c r="J45" s="15" t="s">
        <v>2535</v>
      </c>
      <c r="K45" s="15" t="s">
        <v>2533</v>
      </c>
      <c r="L45" s="15" t="s">
        <v>2558</v>
      </c>
      <c r="M45" s="15" t="s">
        <v>1036</v>
      </c>
      <c r="N45" s="15" t="s">
        <v>2558</v>
      </c>
      <c r="O45" s="15" t="s">
        <v>2569</v>
      </c>
      <c r="P45" s="15" t="s">
        <v>2566</v>
      </c>
      <c r="Q45" s="15" t="s">
        <v>2558</v>
      </c>
      <c r="R45" s="15" t="s">
        <v>2567</v>
      </c>
      <c r="S45" s="15" t="s">
        <v>2558</v>
      </c>
      <c r="T45" s="15" t="s">
        <v>2559</v>
      </c>
    </row>
    <row r="46" spans="1:20">
      <c r="A46" s="15" t="s">
        <v>2531</v>
      </c>
      <c r="B46" s="15" t="s">
        <v>2558</v>
      </c>
      <c r="C46" s="15" t="s">
        <v>2550</v>
      </c>
      <c r="D46" s="15" t="s">
        <v>2558</v>
      </c>
      <c r="E46" s="15" t="s">
        <v>2535</v>
      </c>
      <c r="F46" s="15" t="s">
        <v>2532</v>
      </c>
      <c r="G46" s="15" t="s">
        <v>2558</v>
      </c>
      <c r="H46" s="15" t="s">
        <v>2392</v>
      </c>
      <c r="I46" s="15" t="s">
        <v>2558</v>
      </c>
      <c r="J46" s="15" t="s">
        <v>2535</v>
      </c>
      <c r="K46" s="15" t="s">
        <v>2533</v>
      </c>
      <c r="L46" s="15" t="s">
        <v>2558</v>
      </c>
      <c r="M46" s="15" t="s">
        <v>1074</v>
      </c>
      <c r="N46" s="15" t="s">
        <v>2558</v>
      </c>
      <c r="O46" s="15" t="s">
        <v>2569</v>
      </c>
      <c r="P46" s="15" t="s">
        <v>2566</v>
      </c>
      <c r="Q46" s="15" t="s">
        <v>2558</v>
      </c>
      <c r="R46" s="15" t="s">
        <v>2567</v>
      </c>
      <c r="S46" s="15" t="s">
        <v>2558</v>
      </c>
      <c r="T46" s="15" t="s">
        <v>2559</v>
      </c>
    </row>
    <row r="47" spans="1:20">
      <c r="A47" s="15" t="s">
        <v>2531</v>
      </c>
      <c r="B47" s="15" t="s">
        <v>2558</v>
      </c>
      <c r="C47" s="15" t="s">
        <v>2550</v>
      </c>
      <c r="D47" s="15" t="s">
        <v>2558</v>
      </c>
      <c r="E47" s="15" t="s">
        <v>2535</v>
      </c>
      <c r="F47" s="15" t="s">
        <v>2532</v>
      </c>
      <c r="G47" s="15" t="s">
        <v>2558</v>
      </c>
      <c r="H47" s="15" t="s">
        <v>2392</v>
      </c>
      <c r="I47" s="15" t="s">
        <v>2558</v>
      </c>
      <c r="J47" s="15" t="s">
        <v>2535</v>
      </c>
      <c r="K47" s="15" t="s">
        <v>2533</v>
      </c>
      <c r="L47" s="15" t="s">
        <v>2558</v>
      </c>
      <c r="M47" s="15" t="s">
        <v>1119</v>
      </c>
      <c r="N47" s="15" t="s">
        <v>2558</v>
      </c>
      <c r="O47" s="15" t="s">
        <v>2569</v>
      </c>
      <c r="P47" s="15" t="s">
        <v>2566</v>
      </c>
      <c r="Q47" s="15" t="s">
        <v>2558</v>
      </c>
      <c r="R47" s="15" t="s">
        <v>2567</v>
      </c>
      <c r="S47" s="15" t="s">
        <v>2558</v>
      </c>
      <c r="T47" s="15" t="s">
        <v>2559</v>
      </c>
    </row>
    <row r="48" spans="1:20">
      <c r="A48" s="15" t="s">
        <v>2531</v>
      </c>
      <c r="B48" s="15" t="s">
        <v>2558</v>
      </c>
      <c r="C48" s="15" t="s">
        <v>2550</v>
      </c>
      <c r="D48" s="15" t="s">
        <v>2558</v>
      </c>
      <c r="E48" s="15" t="s">
        <v>2535</v>
      </c>
      <c r="F48" s="15" t="s">
        <v>2532</v>
      </c>
      <c r="G48" s="15" t="s">
        <v>2558</v>
      </c>
      <c r="H48" s="15" t="s">
        <v>2392</v>
      </c>
      <c r="I48" s="15" t="s">
        <v>2558</v>
      </c>
      <c r="J48" s="15" t="s">
        <v>2535</v>
      </c>
      <c r="K48" s="15" t="s">
        <v>2533</v>
      </c>
      <c r="L48" s="15" t="s">
        <v>2558</v>
      </c>
      <c r="M48" s="15" t="s">
        <v>1144</v>
      </c>
      <c r="N48" s="15" t="s">
        <v>2558</v>
      </c>
      <c r="O48" s="15" t="s">
        <v>2569</v>
      </c>
      <c r="P48" s="15" t="s">
        <v>2566</v>
      </c>
      <c r="Q48" s="15" t="s">
        <v>2558</v>
      </c>
      <c r="R48" s="15" t="s">
        <v>2567</v>
      </c>
      <c r="S48" s="15" t="s">
        <v>2558</v>
      </c>
      <c r="T48" s="15" t="s">
        <v>2559</v>
      </c>
    </row>
    <row r="49" spans="1:20">
      <c r="A49" s="15" t="s">
        <v>2531</v>
      </c>
      <c r="B49" s="15" t="s">
        <v>2558</v>
      </c>
      <c r="C49" s="15" t="s">
        <v>2550</v>
      </c>
      <c r="D49" s="15" t="s">
        <v>2558</v>
      </c>
      <c r="E49" s="15" t="s">
        <v>2535</v>
      </c>
      <c r="F49" s="15" t="s">
        <v>2532</v>
      </c>
      <c r="G49" s="15" t="s">
        <v>2558</v>
      </c>
      <c r="H49" s="15" t="s">
        <v>2392</v>
      </c>
      <c r="I49" s="15" t="s">
        <v>2558</v>
      </c>
      <c r="J49" s="15" t="s">
        <v>2535</v>
      </c>
      <c r="K49" s="15" t="s">
        <v>2533</v>
      </c>
      <c r="L49" s="15" t="s">
        <v>2558</v>
      </c>
      <c r="M49" s="15" t="s">
        <v>1152</v>
      </c>
      <c r="N49" s="15" t="s">
        <v>2558</v>
      </c>
      <c r="O49" s="15" t="s">
        <v>2569</v>
      </c>
      <c r="P49" s="15" t="s">
        <v>2566</v>
      </c>
      <c r="Q49" s="15" t="s">
        <v>2558</v>
      </c>
      <c r="R49" s="15" t="s">
        <v>2567</v>
      </c>
      <c r="S49" s="15" t="s">
        <v>2558</v>
      </c>
      <c r="T49" s="15" t="s">
        <v>2559</v>
      </c>
    </row>
    <row r="50" spans="1:20">
      <c r="A50" s="15" t="s">
        <v>2531</v>
      </c>
      <c r="B50" s="15" t="s">
        <v>2558</v>
      </c>
      <c r="C50" s="15" t="s">
        <v>2541</v>
      </c>
      <c r="D50" s="15" t="s">
        <v>2558</v>
      </c>
      <c r="E50" s="15" t="s">
        <v>2535</v>
      </c>
      <c r="F50" s="15" t="s">
        <v>2532</v>
      </c>
      <c r="G50" s="15" t="s">
        <v>2558</v>
      </c>
      <c r="H50" s="15" t="s">
        <v>2393</v>
      </c>
      <c r="I50" s="15" t="s">
        <v>2558</v>
      </c>
      <c r="J50" s="15" t="s">
        <v>2535</v>
      </c>
      <c r="K50" s="15" t="s">
        <v>2533</v>
      </c>
      <c r="L50" s="15" t="s">
        <v>2558</v>
      </c>
      <c r="M50" s="15" t="s">
        <v>404</v>
      </c>
      <c r="N50" s="15" t="s">
        <v>2558</v>
      </c>
      <c r="O50" s="15" t="s">
        <v>2569</v>
      </c>
      <c r="P50" s="15" t="s">
        <v>2566</v>
      </c>
      <c r="Q50" s="15" t="s">
        <v>2558</v>
      </c>
      <c r="R50" s="15" t="s">
        <v>2568</v>
      </c>
      <c r="S50" s="15" t="s">
        <v>2558</v>
      </c>
      <c r="T50" s="15" t="s">
        <v>2559</v>
      </c>
    </row>
    <row r="51" spans="1:20">
      <c r="A51" s="15" t="s">
        <v>2531</v>
      </c>
      <c r="B51" s="15" t="s">
        <v>2558</v>
      </c>
      <c r="C51" s="15" t="s">
        <v>2541</v>
      </c>
      <c r="D51" s="15" t="s">
        <v>2558</v>
      </c>
      <c r="E51" s="15" t="s">
        <v>2535</v>
      </c>
      <c r="F51" s="15" t="s">
        <v>2532</v>
      </c>
      <c r="G51" s="15" t="s">
        <v>2558</v>
      </c>
      <c r="H51" s="15" t="s">
        <v>2393</v>
      </c>
      <c r="I51" s="15" t="s">
        <v>2558</v>
      </c>
      <c r="J51" s="15" t="s">
        <v>2535</v>
      </c>
      <c r="K51" s="15" t="s">
        <v>2533</v>
      </c>
      <c r="L51" s="15" t="s">
        <v>2558</v>
      </c>
      <c r="M51" s="15" t="s">
        <v>393</v>
      </c>
      <c r="N51" s="15" t="s">
        <v>2558</v>
      </c>
      <c r="O51" s="15" t="s">
        <v>2569</v>
      </c>
      <c r="P51" s="15" t="s">
        <v>2566</v>
      </c>
      <c r="Q51" s="15" t="s">
        <v>2558</v>
      </c>
      <c r="R51" s="15" t="s">
        <v>2567</v>
      </c>
      <c r="S51" s="15" t="s">
        <v>2558</v>
      </c>
      <c r="T51" s="15" t="s">
        <v>2559</v>
      </c>
    </row>
    <row r="52" spans="1:20">
      <c r="A52" s="15" t="s">
        <v>2531</v>
      </c>
      <c r="B52" s="15" t="s">
        <v>2558</v>
      </c>
      <c r="C52" s="15" t="s">
        <v>2541</v>
      </c>
      <c r="D52" s="15" t="s">
        <v>2558</v>
      </c>
      <c r="E52" s="15" t="s">
        <v>2535</v>
      </c>
      <c r="F52" s="15" t="s">
        <v>2532</v>
      </c>
      <c r="G52" s="15" t="s">
        <v>2558</v>
      </c>
      <c r="H52" s="15" t="s">
        <v>2393</v>
      </c>
      <c r="I52" s="15" t="s">
        <v>2558</v>
      </c>
      <c r="J52" s="15" t="s">
        <v>2535</v>
      </c>
      <c r="K52" s="15" t="s">
        <v>2533</v>
      </c>
      <c r="L52" s="15" t="s">
        <v>2558</v>
      </c>
      <c r="M52" s="15" t="s">
        <v>445</v>
      </c>
      <c r="N52" s="15" t="s">
        <v>2558</v>
      </c>
      <c r="O52" s="15" t="s">
        <v>2569</v>
      </c>
      <c r="P52" s="15" t="s">
        <v>2566</v>
      </c>
      <c r="Q52" s="15" t="s">
        <v>2558</v>
      </c>
      <c r="R52" s="15" t="s">
        <v>2567</v>
      </c>
      <c r="S52" s="15" t="s">
        <v>2558</v>
      </c>
      <c r="T52" s="15" t="s">
        <v>2559</v>
      </c>
    </row>
    <row r="53" spans="1:20">
      <c r="A53" s="15" t="s">
        <v>2531</v>
      </c>
      <c r="B53" s="15" t="s">
        <v>2558</v>
      </c>
      <c r="C53" s="15" t="s">
        <v>2541</v>
      </c>
      <c r="D53" s="15" t="s">
        <v>2558</v>
      </c>
      <c r="E53" s="15" t="s">
        <v>2535</v>
      </c>
      <c r="F53" s="15" t="s">
        <v>2532</v>
      </c>
      <c r="G53" s="15" t="s">
        <v>2558</v>
      </c>
      <c r="H53" s="15" t="s">
        <v>2393</v>
      </c>
      <c r="I53" s="15" t="s">
        <v>2558</v>
      </c>
      <c r="J53" s="15" t="s">
        <v>2535</v>
      </c>
      <c r="K53" s="15" t="s">
        <v>2533</v>
      </c>
      <c r="L53" s="15" t="s">
        <v>2558</v>
      </c>
      <c r="M53" s="15" t="s">
        <v>449</v>
      </c>
      <c r="N53" s="15" t="s">
        <v>2558</v>
      </c>
      <c r="O53" s="15" t="s">
        <v>2569</v>
      </c>
      <c r="P53" s="15" t="s">
        <v>2566</v>
      </c>
      <c r="Q53" s="15" t="s">
        <v>2558</v>
      </c>
      <c r="R53" s="15" t="s">
        <v>2567</v>
      </c>
      <c r="S53" s="15" t="s">
        <v>2558</v>
      </c>
      <c r="T53" s="15" t="s">
        <v>2559</v>
      </c>
    </row>
    <row r="54" spans="1:20">
      <c r="A54" s="15" t="s">
        <v>2531</v>
      </c>
      <c r="B54" s="15" t="s">
        <v>2558</v>
      </c>
      <c r="C54" s="15" t="s">
        <v>2541</v>
      </c>
      <c r="D54" s="15" t="s">
        <v>2558</v>
      </c>
      <c r="E54" s="15" t="s">
        <v>2535</v>
      </c>
      <c r="F54" s="15" t="s">
        <v>2532</v>
      </c>
      <c r="G54" s="15" t="s">
        <v>2558</v>
      </c>
      <c r="H54" s="15" t="s">
        <v>2393</v>
      </c>
      <c r="I54" s="15" t="s">
        <v>2558</v>
      </c>
      <c r="J54" s="15" t="s">
        <v>2535</v>
      </c>
      <c r="K54" s="15" t="s">
        <v>2533</v>
      </c>
      <c r="L54" s="15" t="s">
        <v>2558</v>
      </c>
      <c r="M54" s="15" t="s">
        <v>453</v>
      </c>
      <c r="N54" s="15" t="s">
        <v>2558</v>
      </c>
      <c r="O54" s="15" t="s">
        <v>2569</v>
      </c>
      <c r="P54" s="15" t="s">
        <v>2566</v>
      </c>
      <c r="Q54" s="15" t="s">
        <v>2558</v>
      </c>
      <c r="R54" s="15" t="s">
        <v>2567</v>
      </c>
      <c r="S54" s="15" t="s">
        <v>2558</v>
      </c>
      <c r="T54" s="15" t="s">
        <v>2559</v>
      </c>
    </row>
    <row r="55" spans="1:20">
      <c r="A55" s="15" t="s">
        <v>2531</v>
      </c>
      <c r="B55" s="15" t="s">
        <v>2558</v>
      </c>
      <c r="C55" s="15" t="s">
        <v>2538</v>
      </c>
      <c r="D55" s="15" t="s">
        <v>2558</v>
      </c>
      <c r="E55" s="15" t="s">
        <v>2535</v>
      </c>
      <c r="F55" s="15" t="s">
        <v>2532</v>
      </c>
      <c r="G55" s="15" t="s">
        <v>2558</v>
      </c>
      <c r="H55" s="15" t="s">
        <v>2394</v>
      </c>
      <c r="I55" s="15" t="s">
        <v>2558</v>
      </c>
      <c r="J55" s="15" t="s">
        <v>2535</v>
      </c>
      <c r="K55" s="15" t="s">
        <v>2533</v>
      </c>
      <c r="L55" s="15" t="s">
        <v>2558</v>
      </c>
      <c r="M55" s="15" t="s">
        <v>256</v>
      </c>
      <c r="N55" s="15" t="s">
        <v>2558</v>
      </c>
      <c r="O55" s="15" t="s">
        <v>2569</v>
      </c>
      <c r="P55" s="15" t="s">
        <v>2566</v>
      </c>
      <c r="Q55" s="15" t="s">
        <v>2558</v>
      </c>
      <c r="R55" s="15" t="s">
        <v>2568</v>
      </c>
      <c r="S55" s="15" t="s">
        <v>2558</v>
      </c>
      <c r="T55" s="15" t="s">
        <v>2559</v>
      </c>
    </row>
    <row r="56" spans="1:20">
      <c r="A56" s="15" t="s">
        <v>2531</v>
      </c>
      <c r="B56" s="15" t="s">
        <v>2558</v>
      </c>
      <c r="C56" s="15" t="s">
        <v>2538</v>
      </c>
      <c r="D56" s="15" t="s">
        <v>2558</v>
      </c>
      <c r="E56" s="15" t="s">
        <v>2535</v>
      </c>
      <c r="F56" s="15" t="s">
        <v>2532</v>
      </c>
      <c r="G56" s="15" t="s">
        <v>2558</v>
      </c>
      <c r="H56" s="15" t="s">
        <v>2394</v>
      </c>
      <c r="I56" s="15" t="s">
        <v>2558</v>
      </c>
      <c r="J56" s="15" t="s">
        <v>2535</v>
      </c>
      <c r="K56" s="15" t="s">
        <v>2533</v>
      </c>
      <c r="L56" s="15" t="s">
        <v>2558</v>
      </c>
      <c r="M56" s="15" t="s">
        <v>231</v>
      </c>
      <c r="N56" s="15" t="s">
        <v>2558</v>
      </c>
      <c r="O56" s="15" t="s">
        <v>2569</v>
      </c>
      <c r="P56" s="15" t="s">
        <v>2566</v>
      </c>
      <c r="Q56" s="15" t="s">
        <v>2558</v>
      </c>
      <c r="R56" s="15" t="s">
        <v>2567</v>
      </c>
      <c r="S56" s="15" t="s">
        <v>2558</v>
      </c>
      <c r="T56" s="15" t="s">
        <v>2559</v>
      </c>
    </row>
    <row r="57" spans="1:20">
      <c r="A57" s="15" t="s">
        <v>2531</v>
      </c>
      <c r="B57" s="15" t="s">
        <v>2558</v>
      </c>
      <c r="C57" s="15" t="s">
        <v>2538</v>
      </c>
      <c r="D57" s="15" t="s">
        <v>2558</v>
      </c>
      <c r="E57" s="15" t="s">
        <v>2535</v>
      </c>
      <c r="F57" s="15" t="s">
        <v>2532</v>
      </c>
      <c r="G57" s="15" t="s">
        <v>2558</v>
      </c>
      <c r="H57" s="15" t="s">
        <v>2394</v>
      </c>
      <c r="I57" s="15" t="s">
        <v>2558</v>
      </c>
      <c r="J57" s="15" t="s">
        <v>2535</v>
      </c>
      <c r="K57" s="15" t="s">
        <v>2533</v>
      </c>
      <c r="L57" s="15" t="s">
        <v>2558</v>
      </c>
      <c r="M57" s="15" t="s">
        <v>297</v>
      </c>
      <c r="N57" s="15" t="s">
        <v>2558</v>
      </c>
      <c r="O57" s="15" t="s">
        <v>2569</v>
      </c>
      <c r="P57" s="15" t="s">
        <v>2566</v>
      </c>
      <c r="Q57" s="15" t="s">
        <v>2558</v>
      </c>
      <c r="R57" s="15" t="s">
        <v>2567</v>
      </c>
      <c r="S57" s="15" t="s">
        <v>2558</v>
      </c>
      <c r="T57" s="15" t="s">
        <v>2559</v>
      </c>
    </row>
    <row r="58" spans="1:20">
      <c r="A58" s="15" t="s">
        <v>2531</v>
      </c>
      <c r="B58" s="15" t="s">
        <v>2558</v>
      </c>
      <c r="C58" s="15" t="s">
        <v>2538</v>
      </c>
      <c r="D58" s="15" t="s">
        <v>2558</v>
      </c>
      <c r="E58" s="15" t="s">
        <v>2535</v>
      </c>
      <c r="F58" s="15" t="s">
        <v>2532</v>
      </c>
      <c r="G58" s="15" t="s">
        <v>2558</v>
      </c>
      <c r="H58" s="15" t="s">
        <v>2394</v>
      </c>
      <c r="I58" s="15" t="s">
        <v>2558</v>
      </c>
      <c r="J58" s="15" t="s">
        <v>2535</v>
      </c>
      <c r="K58" s="15" t="s">
        <v>2533</v>
      </c>
      <c r="L58" s="15" t="s">
        <v>2558</v>
      </c>
      <c r="M58" s="15" t="s">
        <v>301</v>
      </c>
      <c r="N58" s="15" t="s">
        <v>2558</v>
      </c>
      <c r="O58" s="15" t="s">
        <v>2569</v>
      </c>
      <c r="P58" s="15" t="s">
        <v>2566</v>
      </c>
      <c r="Q58" s="15" t="s">
        <v>2558</v>
      </c>
      <c r="R58" s="15" t="s">
        <v>2567</v>
      </c>
      <c r="S58" s="15" t="s">
        <v>2558</v>
      </c>
      <c r="T58" s="15" t="s">
        <v>2559</v>
      </c>
    </row>
    <row r="59" spans="1:20">
      <c r="A59" s="15" t="s">
        <v>2531</v>
      </c>
      <c r="B59" s="15" t="s">
        <v>2558</v>
      </c>
      <c r="C59" s="15" t="s">
        <v>2549</v>
      </c>
      <c r="D59" s="15" t="s">
        <v>2558</v>
      </c>
      <c r="E59" s="15" t="s">
        <v>2535</v>
      </c>
      <c r="F59" s="15" t="s">
        <v>2532</v>
      </c>
      <c r="G59" s="15" t="s">
        <v>2558</v>
      </c>
      <c r="H59" s="15" t="s">
        <v>2395</v>
      </c>
      <c r="I59" s="15" t="s">
        <v>2558</v>
      </c>
      <c r="J59" s="15" t="s">
        <v>2535</v>
      </c>
      <c r="K59" s="15" t="s">
        <v>2533</v>
      </c>
      <c r="L59" s="15" t="s">
        <v>2558</v>
      </c>
      <c r="M59" s="15" t="s">
        <v>1672</v>
      </c>
      <c r="N59" s="15" t="s">
        <v>2558</v>
      </c>
      <c r="O59" s="15" t="s">
        <v>2569</v>
      </c>
      <c r="P59" s="15" t="s">
        <v>2566</v>
      </c>
      <c r="Q59" s="15" t="s">
        <v>2558</v>
      </c>
      <c r="R59" s="15" t="s">
        <v>2568</v>
      </c>
      <c r="S59" s="15" t="s">
        <v>2558</v>
      </c>
      <c r="T59" s="15" t="s">
        <v>2559</v>
      </c>
    </row>
    <row r="60" spans="1:20">
      <c r="A60" s="15" t="s">
        <v>2531</v>
      </c>
      <c r="B60" s="15" t="s">
        <v>2558</v>
      </c>
      <c r="C60" s="15" t="s">
        <v>2549</v>
      </c>
      <c r="D60" s="15" t="s">
        <v>2558</v>
      </c>
      <c r="E60" s="15" t="s">
        <v>2535</v>
      </c>
      <c r="F60" s="15" t="s">
        <v>2532</v>
      </c>
      <c r="G60" s="15" t="s">
        <v>2558</v>
      </c>
      <c r="H60" s="15" t="s">
        <v>2395</v>
      </c>
      <c r="I60" s="15" t="s">
        <v>2558</v>
      </c>
      <c r="J60" s="15" t="s">
        <v>2535</v>
      </c>
      <c r="K60" s="15" t="s">
        <v>2533</v>
      </c>
      <c r="L60" s="15" t="s">
        <v>2558</v>
      </c>
      <c r="M60" s="15" t="s">
        <v>1596</v>
      </c>
      <c r="N60" s="15" t="s">
        <v>2558</v>
      </c>
      <c r="O60" s="15" t="s">
        <v>2569</v>
      </c>
      <c r="P60" s="15" t="s">
        <v>2566</v>
      </c>
      <c r="Q60" s="15" t="s">
        <v>2558</v>
      </c>
      <c r="R60" s="15" t="s">
        <v>2567</v>
      </c>
      <c r="S60" s="15" t="s">
        <v>2558</v>
      </c>
      <c r="T60" s="15" t="s">
        <v>2559</v>
      </c>
    </row>
    <row r="61" spans="1:20">
      <c r="A61" s="15" t="s">
        <v>2531</v>
      </c>
      <c r="B61" s="15" t="s">
        <v>2558</v>
      </c>
      <c r="C61" s="15" t="s">
        <v>2557</v>
      </c>
      <c r="D61" s="15" t="s">
        <v>2558</v>
      </c>
      <c r="E61" s="15" t="s">
        <v>2535</v>
      </c>
      <c r="F61" s="15" t="s">
        <v>2532</v>
      </c>
      <c r="G61" s="15" t="s">
        <v>2558</v>
      </c>
      <c r="H61" s="15" t="s">
        <v>2396</v>
      </c>
      <c r="I61" s="15" t="s">
        <v>2558</v>
      </c>
      <c r="J61" s="15" t="s">
        <v>2535</v>
      </c>
      <c r="K61" s="15" t="s">
        <v>2533</v>
      </c>
      <c r="L61" s="15" t="s">
        <v>2558</v>
      </c>
      <c r="M61" s="15" t="s">
        <v>211</v>
      </c>
      <c r="N61" s="15" t="s">
        <v>2558</v>
      </c>
      <c r="O61" s="15" t="s">
        <v>2569</v>
      </c>
      <c r="P61" s="15" t="s">
        <v>2566</v>
      </c>
      <c r="Q61" s="15" t="s">
        <v>2558</v>
      </c>
      <c r="R61" s="15" t="s">
        <v>2568</v>
      </c>
      <c r="S61" s="15" t="s">
        <v>2558</v>
      </c>
      <c r="T61" s="15" t="s">
        <v>2559</v>
      </c>
    </row>
    <row r="62" spans="1:20">
      <c r="A62" s="15" t="s">
        <v>2531</v>
      </c>
      <c r="B62" s="15" t="s">
        <v>2558</v>
      </c>
      <c r="C62" s="15" t="s">
        <v>2556</v>
      </c>
      <c r="D62" s="15" t="s">
        <v>2558</v>
      </c>
      <c r="E62" s="15" t="s">
        <v>2535</v>
      </c>
      <c r="F62" s="15" t="s">
        <v>2532</v>
      </c>
      <c r="G62" s="15" t="s">
        <v>2558</v>
      </c>
      <c r="H62" s="15" t="s">
        <v>2397</v>
      </c>
      <c r="I62" s="15" t="s">
        <v>2558</v>
      </c>
      <c r="J62" s="15" t="s">
        <v>2535</v>
      </c>
      <c r="K62" s="15" t="s">
        <v>2533</v>
      </c>
      <c r="L62" s="15" t="s">
        <v>2558</v>
      </c>
      <c r="M62" s="15" t="s">
        <v>1724</v>
      </c>
      <c r="N62" s="15" t="s">
        <v>2558</v>
      </c>
      <c r="O62" s="15" t="s">
        <v>2569</v>
      </c>
      <c r="P62" s="15" t="s">
        <v>2566</v>
      </c>
      <c r="Q62" s="15" t="s">
        <v>2558</v>
      </c>
      <c r="R62" s="15" t="s">
        <v>2568</v>
      </c>
      <c r="S62" s="15" t="s">
        <v>2558</v>
      </c>
      <c r="T62" s="15" t="s">
        <v>2559</v>
      </c>
    </row>
    <row r="63" spans="1:20">
      <c r="A63" s="15" t="s">
        <v>2531</v>
      </c>
      <c r="B63" s="15" t="s">
        <v>2558</v>
      </c>
      <c r="C63" s="15" t="s">
        <v>2545</v>
      </c>
      <c r="D63" s="15" t="s">
        <v>2558</v>
      </c>
      <c r="E63" s="15" t="s">
        <v>2535</v>
      </c>
      <c r="F63" s="15" t="s">
        <v>2532</v>
      </c>
      <c r="G63" s="15" t="s">
        <v>2558</v>
      </c>
      <c r="H63" s="15" t="s">
        <v>2398</v>
      </c>
      <c r="I63" s="15" t="s">
        <v>2558</v>
      </c>
      <c r="J63" s="15" t="s">
        <v>2535</v>
      </c>
      <c r="K63" s="15" t="s">
        <v>2533</v>
      </c>
      <c r="L63" s="15" t="s">
        <v>2558</v>
      </c>
      <c r="M63" s="15" t="s">
        <v>777</v>
      </c>
      <c r="N63" s="15" t="s">
        <v>2558</v>
      </c>
      <c r="O63" s="15" t="s">
        <v>2569</v>
      </c>
      <c r="P63" s="15" t="s">
        <v>2566</v>
      </c>
      <c r="Q63" s="15" t="s">
        <v>2558</v>
      </c>
      <c r="R63" s="15" t="s">
        <v>2568</v>
      </c>
      <c r="S63" s="15" t="s">
        <v>2558</v>
      </c>
      <c r="T63" s="15" t="s">
        <v>2559</v>
      </c>
    </row>
    <row r="64" spans="1:20">
      <c r="A64" s="15" t="s">
        <v>2531</v>
      </c>
      <c r="B64" s="15" t="s">
        <v>2558</v>
      </c>
      <c r="C64" s="15" t="s">
        <v>2537</v>
      </c>
      <c r="D64" s="15" t="s">
        <v>2558</v>
      </c>
      <c r="E64" s="15" t="s">
        <v>2535</v>
      </c>
      <c r="F64" s="15" t="s">
        <v>2532</v>
      </c>
      <c r="G64" s="15" t="s">
        <v>2558</v>
      </c>
      <c r="H64" s="15" t="s">
        <v>2399</v>
      </c>
      <c r="I64" s="15" t="s">
        <v>2558</v>
      </c>
      <c r="J64" s="15" t="s">
        <v>2535</v>
      </c>
      <c r="K64" s="15" t="s">
        <v>2533</v>
      </c>
      <c r="L64" s="15" t="s">
        <v>2558</v>
      </c>
      <c r="M64" s="15" t="s">
        <v>81</v>
      </c>
      <c r="N64" s="15" t="s">
        <v>2558</v>
      </c>
      <c r="O64" s="15" t="s">
        <v>2569</v>
      </c>
      <c r="P64" s="15" t="s">
        <v>2566</v>
      </c>
      <c r="Q64" s="15" t="s">
        <v>2558</v>
      </c>
      <c r="R64" s="15" t="s">
        <v>2568</v>
      </c>
      <c r="S64" s="15" t="s">
        <v>2558</v>
      </c>
      <c r="T64" s="15" t="s">
        <v>2559</v>
      </c>
    </row>
    <row r="65" spans="1:20">
      <c r="A65" s="15" t="s">
        <v>2531</v>
      </c>
      <c r="B65" s="15" t="s">
        <v>2558</v>
      </c>
      <c r="C65" s="15" t="s">
        <v>2537</v>
      </c>
      <c r="D65" s="15" t="s">
        <v>2558</v>
      </c>
      <c r="E65" s="15" t="s">
        <v>2535</v>
      </c>
      <c r="F65" s="15" t="s">
        <v>2532</v>
      </c>
      <c r="G65" s="15" t="s">
        <v>2558</v>
      </c>
      <c r="H65" s="15" t="s">
        <v>2399</v>
      </c>
      <c r="I65" s="15" t="s">
        <v>2558</v>
      </c>
      <c r="J65" s="15" t="s">
        <v>2535</v>
      </c>
      <c r="K65" s="15" t="s">
        <v>2533</v>
      </c>
      <c r="L65" s="15" t="s">
        <v>2558</v>
      </c>
      <c r="M65" s="15" t="s">
        <v>41</v>
      </c>
      <c r="N65" s="15" t="s">
        <v>2558</v>
      </c>
      <c r="O65" s="15" t="s">
        <v>2569</v>
      </c>
      <c r="P65" s="15" t="s">
        <v>2566</v>
      </c>
      <c r="Q65" s="15" t="s">
        <v>2558</v>
      </c>
      <c r="R65" s="15" t="s">
        <v>2567</v>
      </c>
      <c r="S65" s="15" t="s">
        <v>2558</v>
      </c>
      <c r="T65" s="15" t="s">
        <v>2559</v>
      </c>
    </row>
    <row r="66" spans="1:20">
      <c r="A66" s="15" t="s">
        <v>2531</v>
      </c>
      <c r="B66" s="15" t="s">
        <v>2558</v>
      </c>
      <c r="C66" s="15" t="s">
        <v>2537</v>
      </c>
      <c r="D66" s="15" t="s">
        <v>2558</v>
      </c>
      <c r="E66" s="15" t="s">
        <v>2535</v>
      </c>
      <c r="F66" s="15" t="s">
        <v>2532</v>
      </c>
      <c r="G66" s="15" t="s">
        <v>2558</v>
      </c>
      <c r="H66" s="15" t="s">
        <v>2399</v>
      </c>
      <c r="I66" s="15" t="s">
        <v>2558</v>
      </c>
      <c r="J66" s="15" t="s">
        <v>2535</v>
      </c>
      <c r="K66" s="15" t="s">
        <v>2533</v>
      </c>
      <c r="L66" s="15" t="s">
        <v>2558</v>
      </c>
      <c r="M66" s="15" t="s">
        <v>125</v>
      </c>
      <c r="N66" s="15" t="s">
        <v>2558</v>
      </c>
      <c r="O66" s="15" t="s">
        <v>2569</v>
      </c>
      <c r="P66" s="15" t="s">
        <v>2566</v>
      </c>
      <c r="Q66" s="15" t="s">
        <v>2558</v>
      </c>
      <c r="R66" s="15" t="s">
        <v>2567</v>
      </c>
      <c r="S66" s="15" t="s">
        <v>2558</v>
      </c>
      <c r="T66" s="15" t="s">
        <v>2559</v>
      </c>
    </row>
    <row r="67" spans="1:20">
      <c r="A67" s="15" t="s">
        <v>2531</v>
      </c>
      <c r="B67" s="15" t="s">
        <v>2558</v>
      </c>
      <c r="C67" s="15" t="s">
        <v>2537</v>
      </c>
      <c r="D67" s="15" t="s">
        <v>2558</v>
      </c>
      <c r="E67" s="15" t="s">
        <v>2535</v>
      </c>
      <c r="F67" s="15" t="s">
        <v>2532</v>
      </c>
      <c r="G67" s="15" t="s">
        <v>2558</v>
      </c>
      <c r="H67" s="15" t="s">
        <v>2399</v>
      </c>
      <c r="I67" s="15" t="s">
        <v>2558</v>
      </c>
      <c r="J67" s="15" t="s">
        <v>2535</v>
      </c>
      <c r="K67" s="15" t="s">
        <v>2533</v>
      </c>
      <c r="L67" s="15" t="s">
        <v>2558</v>
      </c>
      <c r="M67" s="15" t="s">
        <v>146</v>
      </c>
      <c r="N67" s="15" t="s">
        <v>2558</v>
      </c>
      <c r="O67" s="15" t="s">
        <v>2569</v>
      </c>
      <c r="P67" s="15" t="s">
        <v>2566</v>
      </c>
      <c r="Q67" s="15" t="s">
        <v>2558</v>
      </c>
      <c r="R67" s="15" t="s">
        <v>2567</v>
      </c>
      <c r="S67" s="15" t="s">
        <v>2558</v>
      </c>
      <c r="T67" s="15" t="s">
        <v>2559</v>
      </c>
    </row>
    <row r="68" spans="1:20">
      <c r="A68" s="15" t="s">
        <v>2531</v>
      </c>
      <c r="B68" s="15" t="s">
        <v>2558</v>
      </c>
      <c r="C68" s="15" t="s">
        <v>2537</v>
      </c>
      <c r="D68" s="15" t="s">
        <v>2558</v>
      </c>
      <c r="E68" s="15" t="s">
        <v>2535</v>
      </c>
      <c r="F68" s="15" t="s">
        <v>2532</v>
      </c>
      <c r="G68" s="15" t="s">
        <v>2558</v>
      </c>
      <c r="H68" s="15" t="s">
        <v>2399</v>
      </c>
      <c r="I68" s="15" t="s">
        <v>2558</v>
      </c>
      <c r="J68" s="15" t="s">
        <v>2535</v>
      </c>
      <c r="K68" s="15" t="s">
        <v>2533</v>
      </c>
      <c r="L68" s="15" t="s">
        <v>2558</v>
      </c>
      <c r="M68" s="15" t="s">
        <v>206</v>
      </c>
      <c r="N68" s="15" t="s">
        <v>2558</v>
      </c>
      <c r="O68" s="15" t="s">
        <v>2569</v>
      </c>
      <c r="P68" s="15" t="s">
        <v>2566</v>
      </c>
      <c r="Q68" s="15" t="s">
        <v>2558</v>
      </c>
      <c r="R68" s="15" t="s">
        <v>2567</v>
      </c>
      <c r="S68" s="15" t="s">
        <v>2558</v>
      </c>
      <c r="T68" s="15" t="s">
        <v>2559</v>
      </c>
    </row>
    <row r="69" spans="1:20">
      <c r="A69" s="15" t="s">
        <v>2531</v>
      </c>
      <c r="B69" s="15" t="s">
        <v>2558</v>
      </c>
      <c r="C69" s="15" t="s">
        <v>2539</v>
      </c>
      <c r="D69" s="15" t="s">
        <v>2558</v>
      </c>
      <c r="E69" s="15" t="s">
        <v>2535</v>
      </c>
      <c r="F69" s="15" t="s">
        <v>2532</v>
      </c>
      <c r="G69" s="15" t="s">
        <v>2558</v>
      </c>
      <c r="H69" s="15" t="s">
        <v>2400</v>
      </c>
      <c r="I69" s="15" t="s">
        <v>2558</v>
      </c>
      <c r="J69" s="15" t="s">
        <v>2535</v>
      </c>
      <c r="K69" s="15" t="s">
        <v>2533</v>
      </c>
      <c r="L69" s="15" t="s">
        <v>2558</v>
      </c>
      <c r="M69" s="15" t="s">
        <v>345</v>
      </c>
      <c r="N69" s="15" t="s">
        <v>2558</v>
      </c>
      <c r="O69" s="15" t="s">
        <v>2569</v>
      </c>
      <c r="P69" s="15" t="s">
        <v>2566</v>
      </c>
      <c r="Q69" s="15" t="s">
        <v>2558</v>
      </c>
      <c r="R69" s="18" t="s">
        <v>2568</v>
      </c>
      <c r="S69" s="15" t="s">
        <v>2558</v>
      </c>
      <c r="T69" s="15" t="s">
        <v>2559</v>
      </c>
    </row>
    <row r="70" spans="1:20">
      <c r="A70" s="15" t="s">
        <v>2531</v>
      </c>
      <c r="B70" s="15" t="s">
        <v>2558</v>
      </c>
      <c r="C70" s="15" t="s">
        <v>2540</v>
      </c>
      <c r="D70" s="15" t="s">
        <v>2558</v>
      </c>
      <c r="E70" s="15" t="s">
        <v>2535</v>
      </c>
      <c r="F70" s="15" t="s">
        <v>2532</v>
      </c>
      <c r="G70" s="15" t="s">
        <v>2558</v>
      </c>
      <c r="H70" s="15" t="s">
        <v>2401</v>
      </c>
      <c r="I70" s="15" t="s">
        <v>2558</v>
      </c>
      <c r="J70" s="15" t="s">
        <v>2535</v>
      </c>
      <c r="K70" s="15" t="s">
        <v>2533</v>
      </c>
      <c r="L70" s="15" t="s">
        <v>2558</v>
      </c>
      <c r="M70" s="15" t="s">
        <v>341</v>
      </c>
      <c r="N70" s="15" t="s">
        <v>2558</v>
      </c>
      <c r="O70" s="15" t="s">
        <v>2569</v>
      </c>
      <c r="P70" s="15" t="s">
        <v>2566</v>
      </c>
      <c r="Q70" s="15" t="s">
        <v>2558</v>
      </c>
      <c r="R70" s="15" t="s">
        <v>2568</v>
      </c>
      <c r="S70" s="15" t="s">
        <v>2558</v>
      </c>
      <c r="T70" s="15" t="s">
        <v>2559</v>
      </c>
    </row>
    <row r="71" spans="1:20">
      <c r="A71" s="15" t="s">
        <v>2531</v>
      </c>
      <c r="B71" s="15" t="s">
        <v>2558</v>
      </c>
      <c r="C71" s="15" t="s">
        <v>2540</v>
      </c>
      <c r="D71" s="15" t="s">
        <v>2558</v>
      </c>
      <c r="E71" s="15" t="s">
        <v>2535</v>
      </c>
      <c r="F71" s="15" t="s">
        <v>2532</v>
      </c>
      <c r="G71" s="15" t="s">
        <v>2558</v>
      </c>
      <c r="H71" s="15" t="s">
        <v>2401</v>
      </c>
      <c r="I71" s="15" t="s">
        <v>2558</v>
      </c>
      <c r="J71" s="15" t="s">
        <v>2535</v>
      </c>
      <c r="K71" s="15" t="s">
        <v>2533</v>
      </c>
      <c r="L71" s="15" t="s">
        <v>2558</v>
      </c>
      <c r="M71" s="15" t="s">
        <v>305</v>
      </c>
      <c r="N71" s="15" t="s">
        <v>2558</v>
      </c>
      <c r="O71" s="15" t="s">
        <v>2569</v>
      </c>
      <c r="P71" s="15" t="s">
        <v>2566</v>
      </c>
      <c r="Q71" s="15" t="s">
        <v>2558</v>
      </c>
      <c r="R71" s="15" t="s">
        <v>2567</v>
      </c>
      <c r="S71" s="15" t="s">
        <v>2558</v>
      </c>
      <c r="T71" s="15" t="s">
        <v>2559</v>
      </c>
    </row>
    <row r="72" spans="1:20">
      <c r="A72" s="15" t="s">
        <v>2531</v>
      </c>
      <c r="B72" s="15" t="s">
        <v>2558</v>
      </c>
      <c r="C72" s="15" t="s">
        <v>2540</v>
      </c>
      <c r="D72" s="15" t="s">
        <v>2558</v>
      </c>
      <c r="E72" s="15" t="s">
        <v>2535</v>
      </c>
      <c r="F72" s="15" t="s">
        <v>2532</v>
      </c>
      <c r="G72" s="15" t="s">
        <v>2558</v>
      </c>
      <c r="H72" s="15" t="s">
        <v>2401</v>
      </c>
      <c r="I72" s="15" t="s">
        <v>2558</v>
      </c>
      <c r="J72" s="15" t="s">
        <v>2535</v>
      </c>
      <c r="K72" s="15" t="s">
        <v>2533</v>
      </c>
      <c r="L72" s="15" t="s">
        <v>2558</v>
      </c>
      <c r="M72" s="15" t="s">
        <v>324</v>
      </c>
      <c r="N72" s="15" t="s">
        <v>2558</v>
      </c>
      <c r="O72" s="15" t="s">
        <v>2569</v>
      </c>
      <c r="P72" s="15" t="s">
        <v>2566</v>
      </c>
      <c r="Q72" s="15" t="s">
        <v>2558</v>
      </c>
      <c r="R72" s="15" t="s">
        <v>2567</v>
      </c>
      <c r="S72" s="15" t="s">
        <v>2558</v>
      </c>
      <c r="T72" s="15" t="s">
        <v>2559</v>
      </c>
    </row>
    <row r="73" spans="1:20">
      <c r="A73" s="15" t="s">
        <v>2531</v>
      </c>
      <c r="B73" s="15" t="s">
        <v>2558</v>
      </c>
      <c r="C73" s="15" t="s">
        <v>2540</v>
      </c>
      <c r="D73" s="15" t="s">
        <v>2558</v>
      </c>
      <c r="E73" s="15" t="s">
        <v>2535</v>
      </c>
      <c r="F73" s="15" t="s">
        <v>2532</v>
      </c>
      <c r="G73" s="15" t="s">
        <v>2558</v>
      </c>
      <c r="H73" s="15" t="s">
        <v>2401</v>
      </c>
      <c r="I73" s="15" t="s">
        <v>2558</v>
      </c>
      <c r="J73" s="15" t="s">
        <v>2535</v>
      </c>
      <c r="K73" s="15" t="s">
        <v>2533</v>
      </c>
      <c r="L73" s="15" t="s">
        <v>2558</v>
      </c>
      <c r="M73" s="15" t="s">
        <v>365</v>
      </c>
      <c r="N73" s="15" t="s">
        <v>2558</v>
      </c>
      <c r="O73" s="15" t="s">
        <v>2569</v>
      </c>
      <c r="P73" s="15" t="s">
        <v>2566</v>
      </c>
      <c r="Q73" s="15" t="s">
        <v>2558</v>
      </c>
      <c r="R73" s="15" t="s">
        <v>2567</v>
      </c>
      <c r="S73" s="15" t="s">
        <v>2558</v>
      </c>
      <c r="T73" s="15" t="s">
        <v>2559</v>
      </c>
    </row>
    <row r="74" spans="1:20">
      <c r="A74" s="15" t="s">
        <v>2531</v>
      </c>
      <c r="B74" s="15" t="s">
        <v>2558</v>
      </c>
      <c r="C74" s="15" t="s">
        <v>2540</v>
      </c>
      <c r="D74" s="15" t="s">
        <v>2558</v>
      </c>
      <c r="E74" s="15" t="s">
        <v>2535</v>
      </c>
      <c r="F74" s="15" t="s">
        <v>2532</v>
      </c>
      <c r="G74" s="15" t="s">
        <v>2558</v>
      </c>
      <c r="H74" s="15" t="s">
        <v>2401</v>
      </c>
      <c r="I74" s="15" t="s">
        <v>2558</v>
      </c>
      <c r="J74" s="15" t="s">
        <v>2535</v>
      </c>
      <c r="K74" s="15" t="s">
        <v>2533</v>
      </c>
      <c r="L74" s="15" t="s">
        <v>2558</v>
      </c>
      <c r="M74" s="15" t="s">
        <v>369</v>
      </c>
      <c r="N74" s="15" t="s">
        <v>2558</v>
      </c>
      <c r="O74" s="15" t="s">
        <v>2569</v>
      </c>
      <c r="P74" s="15" t="s">
        <v>2566</v>
      </c>
      <c r="Q74" s="15" t="s">
        <v>2558</v>
      </c>
      <c r="R74" s="15" t="s">
        <v>2567</v>
      </c>
      <c r="S74" s="15" t="s">
        <v>2558</v>
      </c>
      <c r="T74" s="15" t="s">
        <v>2559</v>
      </c>
    </row>
    <row r="75" spans="1:20">
      <c r="A75" s="15" t="s">
        <v>2531</v>
      </c>
      <c r="B75" s="15" t="s">
        <v>2558</v>
      </c>
      <c r="C75" s="15" t="s">
        <v>2546</v>
      </c>
      <c r="D75" s="15" t="s">
        <v>2558</v>
      </c>
      <c r="E75" s="15" t="s">
        <v>2535</v>
      </c>
      <c r="F75" s="15" t="s">
        <v>2532</v>
      </c>
      <c r="G75" s="15" t="s">
        <v>2558</v>
      </c>
      <c r="H75" s="15" t="s">
        <v>2402</v>
      </c>
      <c r="I75" s="15" t="s">
        <v>2558</v>
      </c>
      <c r="J75" s="15" t="s">
        <v>2535</v>
      </c>
      <c r="K75" s="15" t="s">
        <v>2533</v>
      </c>
      <c r="L75" s="15" t="s">
        <v>2558</v>
      </c>
      <c r="M75" s="15" t="s">
        <v>880</v>
      </c>
      <c r="N75" s="15" t="s">
        <v>2558</v>
      </c>
      <c r="O75" s="15" t="s">
        <v>2569</v>
      </c>
      <c r="P75" s="15" t="s">
        <v>2566</v>
      </c>
      <c r="Q75" s="15" t="s">
        <v>2558</v>
      </c>
      <c r="R75" s="15" t="s">
        <v>2568</v>
      </c>
      <c r="S75" s="15" t="s">
        <v>2558</v>
      </c>
      <c r="T75" s="15" t="s">
        <v>2559</v>
      </c>
    </row>
    <row r="76" spans="1:20">
      <c r="A76" s="15" t="s">
        <v>2531</v>
      </c>
      <c r="B76" s="15" t="s">
        <v>2558</v>
      </c>
      <c r="C76" s="15" t="s">
        <v>2547</v>
      </c>
      <c r="D76" s="15" t="s">
        <v>2558</v>
      </c>
      <c r="E76" s="15" t="s">
        <v>2535</v>
      </c>
      <c r="F76" s="15" t="s">
        <v>2532</v>
      </c>
      <c r="G76" s="15" t="s">
        <v>2558</v>
      </c>
      <c r="H76" s="15" t="s">
        <v>2403</v>
      </c>
      <c r="I76" s="15" t="s">
        <v>2558</v>
      </c>
      <c r="J76" s="15" t="s">
        <v>2535</v>
      </c>
      <c r="K76" s="15" t="s">
        <v>2533</v>
      </c>
      <c r="L76" s="15" t="s">
        <v>2558</v>
      </c>
      <c r="M76" s="15" t="s">
        <v>890</v>
      </c>
      <c r="N76" s="15" t="s">
        <v>2558</v>
      </c>
      <c r="O76" s="15" t="s">
        <v>2569</v>
      </c>
      <c r="P76" s="15" t="s">
        <v>2566</v>
      </c>
      <c r="Q76" s="15" t="s">
        <v>2558</v>
      </c>
      <c r="R76" s="15" t="s">
        <v>2568</v>
      </c>
      <c r="S76" s="15" t="s">
        <v>2558</v>
      </c>
      <c r="T76" s="15" t="s">
        <v>2559</v>
      </c>
    </row>
    <row r="77" spans="1:20">
      <c r="A77" s="15" t="s">
        <v>2531</v>
      </c>
      <c r="B77" s="15" t="s">
        <v>2558</v>
      </c>
      <c r="C77" s="15" t="s">
        <v>2547</v>
      </c>
      <c r="D77" s="15" t="s">
        <v>2558</v>
      </c>
      <c r="E77" s="15" t="s">
        <v>2535</v>
      </c>
      <c r="F77" s="15" t="s">
        <v>2532</v>
      </c>
      <c r="G77" s="15" t="s">
        <v>2558</v>
      </c>
      <c r="H77" s="15" t="s">
        <v>2403</v>
      </c>
      <c r="I77" s="15" t="s">
        <v>2558</v>
      </c>
      <c r="J77" s="15" t="s">
        <v>2535</v>
      </c>
      <c r="K77" s="15" t="s">
        <v>2533</v>
      </c>
      <c r="L77" s="15" t="s">
        <v>2558</v>
      </c>
      <c r="M77" s="15" t="s">
        <v>845</v>
      </c>
      <c r="N77" s="15" t="s">
        <v>2558</v>
      </c>
      <c r="O77" s="15" t="s">
        <v>2569</v>
      </c>
      <c r="P77" s="15" t="s">
        <v>2566</v>
      </c>
      <c r="Q77" s="15" t="s">
        <v>2558</v>
      </c>
      <c r="R77" s="15" t="s">
        <v>2567</v>
      </c>
      <c r="S77" s="15" t="s">
        <v>2558</v>
      </c>
      <c r="T77" s="15" t="s">
        <v>2559</v>
      </c>
    </row>
    <row r="78" spans="1:20">
      <c r="A78" s="15" t="s">
        <v>2531</v>
      </c>
      <c r="B78" s="15" t="s">
        <v>2558</v>
      </c>
      <c r="C78" s="15" t="s">
        <v>2547</v>
      </c>
      <c r="D78" s="15" t="s">
        <v>2558</v>
      </c>
      <c r="E78" s="15" t="s">
        <v>2535</v>
      </c>
      <c r="F78" s="15" t="s">
        <v>2532</v>
      </c>
      <c r="G78" s="15" t="s">
        <v>2558</v>
      </c>
      <c r="H78" s="15" t="s">
        <v>2403</v>
      </c>
      <c r="I78" s="15" t="s">
        <v>2558</v>
      </c>
      <c r="J78" s="15" t="s">
        <v>2535</v>
      </c>
      <c r="K78" s="15" t="s">
        <v>2533</v>
      </c>
      <c r="L78" s="15" t="s">
        <v>2558</v>
      </c>
      <c r="M78" s="15" t="s">
        <v>906</v>
      </c>
      <c r="N78" s="15" t="s">
        <v>2558</v>
      </c>
      <c r="O78" s="15" t="s">
        <v>2569</v>
      </c>
      <c r="P78" s="15" t="s">
        <v>2566</v>
      </c>
      <c r="Q78" s="15" t="s">
        <v>2558</v>
      </c>
      <c r="R78" s="15" t="s">
        <v>2567</v>
      </c>
      <c r="S78" s="15" t="s">
        <v>2558</v>
      </c>
      <c r="T78" s="15" t="s">
        <v>2559</v>
      </c>
    </row>
    <row r="79" spans="1:20">
      <c r="A79" s="15" t="s">
        <v>2531</v>
      </c>
      <c r="B79" s="15" t="s">
        <v>2558</v>
      </c>
      <c r="C79" s="15" t="s">
        <v>2547</v>
      </c>
      <c r="D79" s="15" t="s">
        <v>2558</v>
      </c>
      <c r="E79" s="15" t="s">
        <v>2535</v>
      </c>
      <c r="F79" s="15" t="s">
        <v>2532</v>
      </c>
      <c r="G79" s="15" t="s">
        <v>2558</v>
      </c>
      <c r="H79" s="15" t="s">
        <v>2403</v>
      </c>
      <c r="I79" s="15" t="s">
        <v>2558</v>
      </c>
      <c r="J79" s="15" t="s">
        <v>2535</v>
      </c>
      <c r="K79" s="15" t="s">
        <v>2533</v>
      </c>
      <c r="L79" s="15" t="s">
        <v>2558</v>
      </c>
      <c r="M79" s="15" t="s">
        <v>910</v>
      </c>
      <c r="N79" s="15" t="s">
        <v>2558</v>
      </c>
      <c r="O79" s="15" t="s">
        <v>2569</v>
      </c>
      <c r="P79" s="15" t="s">
        <v>2566</v>
      </c>
      <c r="Q79" s="15" t="s">
        <v>2558</v>
      </c>
      <c r="R79" s="15" t="s">
        <v>2567</v>
      </c>
      <c r="S79" s="15" t="s">
        <v>2558</v>
      </c>
      <c r="T79" s="15" t="s">
        <v>2559</v>
      </c>
    </row>
    <row r="80" spans="1:20">
      <c r="A80" s="15" t="s">
        <v>2531</v>
      </c>
      <c r="B80" s="15" t="s">
        <v>2558</v>
      </c>
      <c r="C80" s="15" t="s">
        <v>2547</v>
      </c>
      <c r="D80" s="15" t="s">
        <v>2558</v>
      </c>
      <c r="E80" s="15" t="s">
        <v>2535</v>
      </c>
      <c r="F80" s="15" t="s">
        <v>2532</v>
      </c>
      <c r="G80" s="15" t="s">
        <v>2558</v>
      </c>
      <c r="H80" s="15" t="s">
        <v>2403</v>
      </c>
      <c r="I80" s="15" t="s">
        <v>2558</v>
      </c>
      <c r="J80" s="15" t="s">
        <v>2535</v>
      </c>
      <c r="K80" s="15" t="s">
        <v>2533</v>
      </c>
      <c r="L80" s="15" t="s">
        <v>2558</v>
      </c>
      <c r="M80" s="15" t="s">
        <v>914</v>
      </c>
      <c r="N80" s="15" t="s">
        <v>2558</v>
      </c>
      <c r="O80" s="15" t="s">
        <v>2569</v>
      </c>
      <c r="P80" s="15" t="s">
        <v>2566</v>
      </c>
      <c r="Q80" s="15" t="s">
        <v>2558</v>
      </c>
      <c r="R80" s="15" t="s">
        <v>2567</v>
      </c>
      <c r="S80" s="15" t="s">
        <v>2558</v>
      </c>
      <c r="T80" s="15" t="s">
        <v>2559</v>
      </c>
    </row>
    <row r="81" spans="1:20">
      <c r="A81" s="15" t="s">
        <v>2531</v>
      </c>
      <c r="B81" s="15" t="s">
        <v>2558</v>
      </c>
      <c r="C81" s="15" t="s">
        <v>2547</v>
      </c>
      <c r="D81" s="15" t="s">
        <v>2558</v>
      </c>
      <c r="E81" s="15" t="s">
        <v>2535</v>
      </c>
      <c r="F81" s="15" t="s">
        <v>2532</v>
      </c>
      <c r="G81" s="15" t="s">
        <v>2558</v>
      </c>
      <c r="H81" s="15" t="s">
        <v>2403</v>
      </c>
      <c r="I81" s="15" t="s">
        <v>2558</v>
      </c>
      <c r="J81" s="15" t="s">
        <v>2535</v>
      </c>
      <c r="K81" s="15" t="s">
        <v>2533</v>
      </c>
      <c r="L81" s="15" t="s">
        <v>2558</v>
      </c>
      <c r="M81" s="15" t="s">
        <v>918</v>
      </c>
      <c r="N81" s="15" t="s">
        <v>2558</v>
      </c>
      <c r="O81" s="15" t="s">
        <v>2569</v>
      </c>
      <c r="P81" s="15" t="s">
        <v>2566</v>
      </c>
      <c r="Q81" s="15" t="s">
        <v>2558</v>
      </c>
      <c r="R81" s="15" t="s">
        <v>2567</v>
      </c>
      <c r="S81" s="15" t="s">
        <v>2558</v>
      </c>
      <c r="T81" s="15" t="s">
        <v>2559</v>
      </c>
    </row>
    <row r="82" spans="1:20">
      <c r="A82" s="15" t="s">
        <v>2531</v>
      </c>
      <c r="B82" s="15" t="s">
        <v>2558</v>
      </c>
      <c r="C82" s="15" t="s">
        <v>2543</v>
      </c>
      <c r="D82" s="15" t="s">
        <v>2558</v>
      </c>
      <c r="E82" s="15" t="s">
        <v>2535</v>
      </c>
      <c r="F82" s="15" t="s">
        <v>2532</v>
      </c>
      <c r="G82" s="15" t="s">
        <v>2558</v>
      </c>
      <c r="H82" s="15" t="s">
        <v>2404</v>
      </c>
      <c r="I82" s="15" t="s">
        <v>2558</v>
      </c>
      <c r="J82" s="15" t="s">
        <v>2535</v>
      </c>
      <c r="K82" s="15" t="s">
        <v>2533</v>
      </c>
      <c r="L82" s="15" t="s">
        <v>2558</v>
      </c>
      <c r="M82" s="15" t="s">
        <v>623</v>
      </c>
      <c r="N82" s="15" t="s">
        <v>2558</v>
      </c>
      <c r="O82" s="15" t="s">
        <v>2569</v>
      </c>
      <c r="P82" s="15" t="s">
        <v>2566</v>
      </c>
      <c r="Q82" s="15" t="s">
        <v>2558</v>
      </c>
      <c r="R82" s="15" t="s">
        <v>2568</v>
      </c>
      <c r="S82" s="15" t="s">
        <v>2558</v>
      </c>
      <c r="T82" s="15" t="s">
        <v>2559</v>
      </c>
    </row>
    <row r="83" spans="1:20">
      <c r="A83" s="15" t="s">
        <v>2531</v>
      </c>
      <c r="B83" s="15" t="s">
        <v>2558</v>
      </c>
      <c r="C83" s="15" t="s">
        <v>2542</v>
      </c>
      <c r="D83" s="15" t="s">
        <v>2558</v>
      </c>
      <c r="E83" s="15" t="s">
        <v>2535</v>
      </c>
      <c r="F83" s="15" t="s">
        <v>2532</v>
      </c>
      <c r="G83" s="15" t="s">
        <v>2558</v>
      </c>
      <c r="H83" s="15" t="s">
        <v>2405</v>
      </c>
      <c r="I83" s="15" t="s">
        <v>2558</v>
      </c>
      <c r="J83" s="15" t="s">
        <v>2535</v>
      </c>
      <c r="K83" s="15" t="s">
        <v>2533</v>
      </c>
      <c r="L83" s="15" t="s">
        <v>2558</v>
      </c>
      <c r="M83" s="15" t="s">
        <v>478</v>
      </c>
      <c r="N83" s="15" t="s">
        <v>2558</v>
      </c>
      <c r="O83" s="15" t="s">
        <v>2569</v>
      </c>
      <c r="P83" s="15" t="s">
        <v>2566</v>
      </c>
      <c r="Q83" s="15" t="s">
        <v>2558</v>
      </c>
      <c r="R83" s="15" t="s">
        <v>2568</v>
      </c>
      <c r="S83" s="15" t="s">
        <v>2558</v>
      </c>
      <c r="T83" s="15" t="s">
        <v>2559</v>
      </c>
    </row>
    <row r="84" spans="1:20">
      <c r="A84" s="15" t="s">
        <v>2531</v>
      </c>
      <c r="B84" s="15" t="s">
        <v>2558</v>
      </c>
      <c r="C84" s="15" t="s">
        <v>2542</v>
      </c>
      <c r="D84" s="15" t="s">
        <v>2558</v>
      </c>
      <c r="E84" s="15" t="s">
        <v>2535</v>
      </c>
      <c r="F84" s="15" t="s">
        <v>2532</v>
      </c>
      <c r="G84" s="15" t="s">
        <v>2558</v>
      </c>
      <c r="H84" s="15" t="s">
        <v>2405</v>
      </c>
      <c r="I84" s="15" t="s">
        <v>2558</v>
      </c>
      <c r="J84" s="15" t="s">
        <v>2535</v>
      </c>
      <c r="K84" s="15" t="s">
        <v>2533</v>
      </c>
      <c r="L84" s="15" t="s">
        <v>2558</v>
      </c>
      <c r="M84" s="15" t="s">
        <v>466</v>
      </c>
      <c r="N84" s="15" t="s">
        <v>2558</v>
      </c>
      <c r="O84" s="15" t="s">
        <v>2569</v>
      </c>
      <c r="P84" s="15" t="s">
        <v>2566</v>
      </c>
      <c r="Q84" s="15" t="s">
        <v>2558</v>
      </c>
      <c r="R84" s="15" t="s">
        <v>2567</v>
      </c>
      <c r="S84" s="15" t="s">
        <v>2558</v>
      </c>
      <c r="T84" s="15" t="s">
        <v>2559</v>
      </c>
    </row>
    <row r="85" spans="1:20">
      <c r="A85" s="15" t="s">
        <v>2531</v>
      </c>
      <c r="B85" s="15" t="s">
        <v>2558</v>
      </c>
      <c r="C85" s="15" t="s">
        <v>2542</v>
      </c>
      <c r="D85" s="15" t="s">
        <v>2558</v>
      </c>
      <c r="E85" s="15" t="s">
        <v>2535</v>
      </c>
      <c r="F85" s="15" t="s">
        <v>2532</v>
      </c>
      <c r="G85" s="15" t="s">
        <v>2558</v>
      </c>
      <c r="H85" s="15" t="s">
        <v>2405</v>
      </c>
      <c r="I85" s="15" t="s">
        <v>2558</v>
      </c>
      <c r="J85" s="15" t="s">
        <v>2535</v>
      </c>
      <c r="K85" s="15" t="s">
        <v>2533</v>
      </c>
      <c r="L85" s="15" t="s">
        <v>2558</v>
      </c>
      <c r="M85" s="15" t="s">
        <v>534</v>
      </c>
      <c r="N85" s="15" t="s">
        <v>2558</v>
      </c>
      <c r="O85" s="15" t="s">
        <v>2569</v>
      </c>
      <c r="P85" s="15" t="s">
        <v>2566</v>
      </c>
      <c r="Q85" s="15" t="s">
        <v>2558</v>
      </c>
      <c r="R85" s="15" t="s">
        <v>2567</v>
      </c>
      <c r="S85" s="15" t="s">
        <v>2558</v>
      </c>
      <c r="T85" s="15" t="s">
        <v>2559</v>
      </c>
    </row>
    <row r="86" spans="1:20">
      <c r="A86" s="15" t="s">
        <v>2531</v>
      </c>
      <c r="B86" s="15" t="s">
        <v>2558</v>
      </c>
      <c r="C86" s="15" t="s">
        <v>2542</v>
      </c>
      <c r="D86" s="15" t="s">
        <v>2558</v>
      </c>
      <c r="E86" s="15" t="s">
        <v>2535</v>
      </c>
      <c r="F86" s="15" t="s">
        <v>2532</v>
      </c>
      <c r="G86" s="15" t="s">
        <v>2558</v>
      </c>
      <c r="H86" s="15" t="s">
        <v>2405</v>
      </c>
      <c r="I86" s="15" t="s">
        <v>2558</v>
      </c>
      <c r="J86" s="15" t="s">
        <v>2535</v>
      </c>
      <c r="K86" s="15" t="s">
        <v>2533</v>
      </c>
      <c r="L86" s="15" t="s">
        <v>2558</v>
      </c>
      <c r="M86" s="15" t="s">
        <v>568</v>
      </c>
      <c r="N86" s="15" t="s">
        <v>2558</v>
      </c>
      <c r="O86" s="15" t="s">
        <v>2569</v>
      </c>
      <c r="P86" s="15" t="s">
        <v>2566</v>
      </c>
      <c r="Q86" s="15" t="s">
        <v>2558</v>
      </c>
      <c r="R86" s="15" t="s">
        <v>2567</v>
      </c>
      <c r="S86" s="15" t="s">
        <v>2558</v>
      </c>
      <c r="T86" s="15" t="s">
        <v>2559</v>
      </c>
    </row>
    <row r="87" spans="1:20">
      <c r="A87" s="15" t="s">
        <v>2531</v>
      </c>
      <c r="B87" s="15" t="s">
        <v>2558</v>
      </c>
      <c r="C87" s="15" t="s">
        <v>2542</v>
      </c>
      <c r="D87" s="15" t="s">
        <v>2558</v>
      </c>
      <c r="E87" s="15" t="s">
        <v>2535</v>
      </c>
      <c r="F87" s="15" t="s">
        <v>2532</v>
      </c>
      <c r="G87" s="15" t="s">
        <v>2558</v>
      </c>
      <c r="H87" s="15" t="s">
        <v>2405</v>
      </c>
      <c r="I87" s="15" t="s">
        <v>2558</v>
      </c>
      <c r="J87" s="15" t="s">
        <v>2535</v>
      </c>
      <c r="K87" s="15" t="s">
        <v>2533</v>
      </c>
      <c r="L87" s="15" t="s">
        <v>2558</v>
      </c>
      <c r="M87" s="15" t="s">
        <v>572</v>
      </c>
      <c r="N87" s="15" t="s">
        <v>2558</v>
      </c>
      <c r="O87" s="15" t="s">
        <v>2569</v>
      </c>
      <c r="P87" s="15" t="s">
        <v>2566</v>
      </c>
      <c r="Q87" s="15" t="s">
        <v>2558</v>
      </c>
      <c r="R87" s="15" t="s">
        <v>2567</v>
      </c>
      <c r="S87" s="15" t="s">
        <v>2558</v>
      </c>
      <c r="T87" s="15" t="s">
        <v>2559</v>
      </c>
    </row>
    <row r="88" spans="1:20">
      <c r="A88" s="15" t="s">
        <v>2531</v>
      </c>
      <c r="B88" s="15" t="s">
        <v>2558</v>
      </c>
      <c r="C88" s="15" t="s">
        <v>2542</v>
      </c>
      <c r="D88" s="15" t="s">
        <v>2558</v>
      </c>
      <c r="E88" s="15" t="s">
        <v>2535</v>
      </c>
      <c r="F88" s="15" t="s">
        <v>2532</v>
      </c>
      <c r="G88" s="15" t="s">
        <v>2558</v>
      </c>
      <c r="H88" s="15" t="s">
        <v>2405</v>
      </c>
      <c r="I88" s="15" t="s">
        <v>2558</v>
      </c>
      <c r="J88" s="15" t="s">
        <v>2535</v>
      </c>
      <c r="K88" s="15" t="s">
        <v>2533</v>
      </c>
      <c r="L88" s="15" t="s">
        <v>2558</v>
      </c>
      <c r="M88" s="15" t="s">
        <v>576</v>
      </c>
      <c r="N88" s="15" t="s">
        <v>2558</v>
      </c>
      <c r="O88" s="15" t="s">
        <v>2569</v>
      </c>
      <c r="P88" s="15" t="s">
        <v>2566</v>
      </c>
      <c r="Q88" s="15" t="s">
        <v>2558</v>
      </c>
      <c r="R88" s="15" t="s">
        <v>2567</v>
      </c>
      <c r="S88" s="15" t="s">
        <v>2558</v>
      </c>
      <c r="T88" s="15" t="s">
        <v>2559</v>
      </c>
    </row>
    <row r="89" spans="1:20">
      <c r="A89" s="15" t="s">
        <v>2531</v>
      </c>
      <c r="B89" s="15" t="s">
        <v>2558</v>
      </c>
      <c r="C89" s="15" t="s">
        <v>2542</v>
      </c>
      <c r="D89" s="15" t="s">
        <v>2558</v>
      </c>
      <c r="E89" s="15" t="s">
        <v>2535</v>
      </c>
      <c r="F89" s="15" t="s">
        <v>2532</v>
      </c>
      <c r="G89" s="15" t="s">
        <v>2558</v>
      </c>
      <c r="H89" s="15" t="s">
        <v>2405</v>
      </c>
      <c r="I89" s="15" t="s">
        <v>2558</v>
      </c>
      <c r="J89" s="15" t="s">
        <v>2535</v>
      </c>
      <c r="K89" s="15" t="s">
        <v>2533</v>
      </c>
      <c r="L89" s="15" t="s">
        <v>2558</v>
      </c>
      <c r="M89" s="15" t="s">
        <v>584</v>
      </c>
      <c r="N89" s="15" t="s">
        <v>2558</v>
      </c>
      <c r="O89" s="15" t="s">
        <v>2569</v>
      </c>
      <c r="P89" s="15" t="s">
        <v>2566</v>
      </c>
      <c r="Q89" s="15" t="s">
        <v>2558</v>
      </c>
      <c r="R89" s="15" t="s">
        <v>2567</v>
      </c>
      <c r="S89" s="15" t="s">
        <v>2558</v>
      </c>
      <c r="T89" s="15" t="s">
        <v>2559</v>
      </c>
    </row>
    <row r="90" spans="1:20">
      <c r="A90" s="15" t="s">
        <v>2531</v>
      </c>
      <c r="B90" s="15" t="s">
        <v>2558</v>
      </c>
      <c r="C90" s="15" t="s">
        <v>2542</v>
      </c>
      <c r="D90" s="15" t="s">
        <v>2558</v>
      </c>
      <c r="E90" s="15" t="s">
        <v>2535</v>
      </c>
      <c r="F90" s="15" t="s">
        <v>2532</v>
      </c>
      <c r="G90" s="15" t="s">
        <v>2558</v>
      </c>
      <c r="H90" s="15" t="s">
        <v>2405</v>
      </c>
      <c r="I90" s="15" t="s">
        <v>2558</v>
      </c>
      <c r="J90" s="15" t="s">
        <v>2535</v>
      </c>
      <c r="K90" s="15" t="s">
        <v>2533</v>
      </c>
      <c r="L90" s="15" t="s">
        <v>2558</v>
      </c>
      <c r="M90" s="15" t="s">
        <v>588</v>
      </c>
      <c r="N90" s="15" t="s">
        <v>2558</v>
      </c>
      <c r="O90" s="15" t="s">
        <v>2569</v>
      </c>
      <c r="P90" s="15" t="s">
        <v>2566</v>
      </c>
      <c r="Q90" s="15" t="s">
        <v>2558</v>
      </c>
      <c r="R90" s="15" t="s">
        <v>2567</v>
      </c>
      <c r="S90" s="15" t="s">
        <v>2558</v>
      </c>
      <c r="T90" s="15" t="s">
        <v>2559</v>
      </c>
    </row>
    <row r="91" spans="1:20">
      <c r="A91" s="15" t="s">
        <v>2531</v>
      </c>
      <c r="B91" s="15" t="s">
        <v>2558</v>
      </c>
      <c r="C91" s="15" t="s">
        <v>2542</v>
      </c>
      <c r="D91" s="15" t="s">
        <v>2558</v>
      </c>
      <c r="E91" s="15" t="s">
        <v>2535</v>
      </c>
      <c r="F91" s="15" t="s">
        <v>2532</v>
      </c>
      <c r="G91" s="15" t="s">
        <v>2558</v>
      </c>
      <c r="H91" s="15" t="s">
        <v>2405</v>
      </c>
      <c r="I91" s="15" t="s">
        <v>2558</v>
      </c>
      <c r="J91" s="15" t="s">
        <v>2535</v>
      </c>
      <c r="K91" s="15" t="s">
        <v>2533</v>
      </c>
      <c r="L91" s="15" t="s">
        <v>2558</v>
      </c>
      <c r="M91" s="15" t="s">
        <v>592</v>
      </c>
      <c r="N91" s="15" t="s">
        <v>2558</v>
      </c>
      <c r="O91" s="15" t="s">
        <v>2569</v>
      </c>
      <c r="P91" s="15" t="s">
        <v>2566</v>
      </c>
      <c r="Q91" s="15" t="s">
        <v>2558</v>
      </c>
      <c r="R91" s="15" t="s">
        <v>2567</v>
      </c>
      <c r="S91" s="15" t="s">
        <v>2558</v>
      </c>
      <c r="T91" s="15" t="s">
        <v>2559</v>
      </c>
    </row>
    <row r="92" spans="1:20">
      <c r="A92" s="15" t="s">
        <v>2531</v>
      </c>
      <c r="B92" s="15" t="s">
        <v>2558</v>
      </c>
      <c r="C92" s="15" t="s">
        <v>2542</v>
      </c>
      <c r="D92" s="15" t="s">
        <v>2558</v>
      </c>
      <c r="E92" s="15" t="s">
        <v>2535</v>
      </c>
      <c r="F92" s="15" t="s">
        <v>2532</v>
      </c>
      <c r="G92" s="15" t="s">
        <v>2558</v>
      </c>
      <c r="H92" s="15" t="s">
        <v>2405</v>
      </c>
      <c r="I92" s="15" t="s">
        <v>2558</v>
      </c>
      <c r="J92" s="15" t="s">
        <v>2535</v>
      </c>
      <c r="K92" s="15" t="s">
        <v>2533</v>
      </c>
      <c r="L92" s="15" t="s">
        <v>2558</v>
      </c>
      <c r="M92" s="15" t="s">
        <v>596</v>
      </c>
      <c r="N92" s="15" t="s">
        <v>2558</v>
      </c>
      <c r="O92" s="15" t="s">
        <v>2569</v>
      </c>
      <c r="P92" s="15" t="s">
        <v>2566</v>
      </c>
      <c r="Q92" s="15" t="s">
        <v>2558</v>
      </c>
      <c r="R92" s="15" t="s">
        <v>2567</v>
      </c>
      <c r="S92" s="15" t="s">
        <v>2558</v>
      </c>
      <c r="T92" s="15" t="s">
        <v>2559</v>
      </c>
    </row>
    <row r="93" spans="1:20">
      <c r="A93" s="15" t="s">
        <v>2531</v>
      </c>
      <c r="B93" s="15" t="s">
        <v>2558</v>
      </c>
      <c r="C93" s="15" t="s">
        <v>2542</v>
      </c>
      <c r="D93" s="15" t="s">
        <v>2558</v>
      </c>
      <c r="E93" s="15" t="s">
        <v>2535</v>
      </c>
      <c r="F93" s="15" t="s">
        <v>2532</v>
      </c>
      <c r="G93" s="15" t="s">
        <v>2558</v>
      </c>
      <c r="H93" s="15" t="s">
        <v>2405</v>
      </c>
      <c r="I93" s="15" t="s">
        <v>2558</v>
      </c>
      <c r="J93" s="15" t="s">
        <v>2535</v>
      </c>
      <c r="K93" s="15" t="s">
        <v>2533</v>
      </c>
      <c r="L93" s="15" t="s">
        <v>2558</v>
      </c>
      <c r="M93" s="15" t="s">
        <v>600</v>
      </c>
      <c r="N93" s="15" t="s">
        <v>2558</v>
      </c>
      <c r="O93" s="15" t="s">
        <v>2569</v>
      </c>
      <c r="P93" s="15" t="s">
        <v>2566</v>
      </c>
      <c r="Q93" s="15" t="s">
        <v>2558</v>
      </c>
      <c r="R93" s="15" t="s">
        <v>2567</v>
      </c>
      <c r="S93" s="15" t="s">
        <v>2558</v>
      </c>
      <c r="T93" s="15" t="s">
        <v>2559</v>
      </c>
    </row>
    <row r="94" spans="1:20">
      <c r="A94" s="15" t="s">
        <v>2531</v>
      </c>
      <c r="B94" s="15" t="s">
        <v>2558</v>
      </c>
      <c r="C94" s="15" t="s">
        <v>2536</v>
      </c>
      <c r="D94" s="15" t="s">
        <v>2558</v>
      </c>
      <c r="E94" s="15" t="s">
        <v>2535</v>
      </c>
      <c r="F94" s="15" t="s">
        <v>2532</v>
      </c>
      <c r="G94" s="15" t="s">
        <v>2558</v>
      </c>
      <c r="H94" s="15" t="s">
        <v>2406</v>
      </c>
      <c r="I94" s="15" t="s">
        <v>2558</v>
      </c>
      <c r="J94" s="15" t="s">
        <v>2535</v>
      </c>
      <c r="K94" s="15" t="s">
        <v>2533</v>
      </c>
      <c r="L94" s="15" t="s">
        <v>2558</v>
      </c>
      <c r="M94" s="15" t="s">
        <v>66</v>
      </c>
      <c r="N94" s="15" t="s">
        <v>2558</v>
      </c>
      <c r="O94" s="15" t="s">
        <v>2569</v>
      </c>
      <c r="P94" s="15" t="s">
        <v>2566</v>
      </c>
      <c r="Q94" s="15" t="s">
        <v>2558</v>
      </c>
      <c r="R94" s="15" t="s">
        <v>2568</v>
      </c>
      <c r="S94" s="15" t="s">
        <v>2558</v>
      </c>
      <c r="T94" s="15" t="s">
        <v>2559</v>
      </c>
    </row>
    <row r="95" spans="1:20">
      <c r="A95" s="15" t="s">
        <v>2531</v>
      </c>
      <c r="B95" s="15" t="s">
        <v>2558</v>
      </c>
      <c r="C95" s="15" t="s">
        <v>2536</v>
      </c>
      <c r="D95" s="15" t="s">
        <v>2558</v>
      </c>
      <c r="E95" s="15" t="s">
        <v>2535</v>
      </c>
      <c r="F95" s="15" t="s">
        <v>2532</v>
      </c>
      <c r="G95" s="15" t="s">
        <v>2558</v>
      </c>
      <c r="H95" s="15" t="s">
        <v>2406</v>
      </c>
      <c r="I95" s="15" t="s">
        <v>2558</v>
      </c>
      <c r="J95" s="15" t="s">
        <v>2535</v>
      </c>
      <c r="K95" s="15" t="s">
        <v>2533</v>
      </c>
      <c r="L95" s="15" t="s">
        <v>2558</v>
      </c>
      <c r="M95" s="15" t="s">
        <v>77</v>
      </c>
      <c r="N95" s="15" t="s">
        <v>2558</v>
      </c>
      <c r="O95" s="15" t="s">
        <v>2569</v>
      </c>
      <c r="P95" s="15" t="s">
        <v>2566</v>
      </c>
      <c r="Q95" s="15" t="s">
        <v>2558</v>
      </c>
      <c r="R95" s="15" t="s">
        <v>2567</v>
      </c>
      <c r="S95" s="15" t="s">
        <v>2558</v>
      </c>
      <c r="T95" s="15" t="s">
        <v>2559</v>
      </c>
    </row>
    <row r="96" spans="1:20">
      <c r="A96" s="15" t="s">
        <v>2531</v>
      </c>
      <c r="B96" s="15" t="s">
        <v>2558</v>
      </c>
      <c r="C96" s="15" t="s">
        <v>2553</v>
      </c>
      <c r="D96" s="15" t="s">
        <v>2558</v>
      </c>
      <c r="E96" s="15" t="s">
        <v>2535</v>
      </c>
      <c r="F96" s="15" t="s">
        <v>2532</v>
      </c>
      <c r="G96" s="15" t="s">
        <v>2558</v>
      </c>
      <c r="H96" s="15" t="s">
        <v>2407</v>
      </c>
      <c r="I96" s="15" t="s">
        <v>2558</v>
      </c>
      <c r="J96" s="15" t="s">
        <v>2535</v>
      </c>
      <c r="K96" s="15" t="s">
        <v>2533</v>
      </c>
      <c r="L96" s="15" t="s">
        <v>2558</v>
      </c>
      <c r="M96" s="15" t="s">
        <v>1257</v>
      </c>
      <c r="N96" s="15" t="s">
        <v>2558</v>
      </c>
      <c r="O96" s="15" t="s">
        <v>2569</v>
      </c>
      <c r="P96" s="15" t="s">
        <v>2566</v>
      </c>
      <c r="Q96" s="15" t="s">
        <v>2558</v>
      </c>
      <c r="R96" s="15" t="s">
        <v>2568</v>
      </c>
      <c r="S96" s="15" t="s">
        <v>2558</v>
      </c>
      <c r="T96" s="15" t="s">
        <v>2559</v>
      </c>
    </row>
    <row r="97" spans="1:20">
      <c r="A97" s="15" t="s">
        <v>2531</v>
      </c>
      <c r="B97" s="15" t="s">
        <v>2558</v>
      </c>
      <c r="C97" s="15" t="s">
        <v>2553</v>
      </c>
      <c r="D97" s="15" t="s">
        <v>2558</v>
      </c>
      <c r="E97" s="15" t="s">
        <v>2535</v>
      </c>
      <c r="F97" s="15" t="s">
        <v>2532</v>
      </c>
      <c r="G97" s="15" t="s">
        <v>2558</v>
      </c>
      <c r="H97" s="15" t="s">
        <v>2407</v>
      </c>
      <c r="I97" s="15" t="s">
        <v>2558</v>
      </c>
      <c r="J97" s="15" t="s">
        <v>2535</v>
      </c>
      <c r="K97" s="15" t="s">
        <v>2533</v>
      </c>
      <c r="L97" s="15" t="s">
        <v>2558</v>
      </c>
      <c r="M97" s="15" t="s">
        <v>1194</v>
      </c>
      <c r="N97" s="15" t="s">
        <v>2558</v>
      </c>
      <c r="O97" s="15" t="s">
        <v>2569</v>
      </c>
      <c r="P97" s="15" t="s">
        <v>2566</v>
      </c>
      <c r="Q97" s="15" t="s">
        <v>2558</v>
      </c>
      <c r="R97" s="15" t="s">
        <v>2567</v>
      </c>
      <c r="S97" s="15" t="s">
        <v>2558</v>
      </c>
      <c r="T97" s="15" t="s">
        <v>2559</v>
      </c>
    </row>
    <row r="98" spans="1:20">
      <c r="A98" s="15" t="s">
        <v>2531</v>
      </c>
      <c r="B98" s="15" t="s">
        <v>2558</v>
      </c>
      <c r="C98" s="15" t="s">
        <v>2553</v>
      </c>
      <c r="D98" s="15" t="s">
        <v>2558</v>
      </c>
      <c r="E98" s="15" t="s">
        <v>2535</v>
      </c>
      <c r="F98" s="15" t="s">
        <v>2532</v>
      </c>
      <c r="G98" s="15" t="s">
        <v>2558</v>
      </c>
      <c r="H98" s="15" t="s">
        <v>2407</v>
      </c>
      <c r="I98" s="15" t="s">
        <v>2558</v>
      </c>
      <c r="J98" s="15" t="s">
        <v>2535</v>
      </c>
      <c r="K98" s="15" t="s">
        <v>2533</v>
      </c>
      <c r="L98" s="15" t="s">
        <v>2558</v>
      </c>
      <c r="M98" s="15" t="s">
        <v>1200</v>
      </c>
      <c r="N98" s="15" t="s">
        <v>2558</v>
      </c>
      <c r="O98" s="15" t="s">
        <v>2569</v>
      </c>
      <c r="P98" s="15" t="s">
        <v>2566</v>
      </c>
      <c r="Q98" s="15" t="s">
        <v>2558</v>
      </c>
      <c r="R98" s="15" t="s">
        <v>2567</v>
      </c>
      <c r="S98" s="15" t="s">
        <v>2558</v>
      </c>
      <c r="T98" s="15" t="s">
        <v>2559</v>
      </c>
    </row>
    <row r="99" spans="1:20">
      <c r="A99" s="15" t="s">
        <v>2531</v>
      </c>
      <c r="B99" s="15" t="s">
        <v>2558</v>
      </c>
      <c r="C99" s="15" t="s">
        <v>2553</v>
      </c>
      <c r="D99" s="15" t="s">
        <v>2558</v>
      </c>
      <c r="E99" s="15" t="s">
        <v>2535</v>
      </c>
      <c r="F99" s="15" t="s">
        <v>2532</v>
      </c>
      <c r="G99" s="15" t="s">
        <v>2558</v>
      </c>
      <c r="H99" s="15" t="s">
        <v>2407</v>
      </c>
      <c r="I99" s="15" t="s">
        <v>2558</v>
      </c>
      <c r="J99" s="15" t="s">
        <v>2535</v>
      </c>
      <c r="K99" s="15" t="s">
        <v>2533</v>
      </c>
      <c r="L99" s="15" t="s">
        <v>2558</v>
      </c>
      <c r="M99" s="15" t="s">
        <v>1205</v>
      </c>
      <c r="N99" s="15" t="s">
        <v>2558</v>
      </c>
      <c r="O99" s="15" t="s">
        <v>2569</v>
      </c>
      <c r="P99" s="15" t="s">
        <v>2566</v>
      </c>
      <c r="Q99" s="15" t="s">
        <v>2558</v>
      </c>
      <c r="R99" s="15" t="s">
        <v>2567</v>
      </c>
      <c r="S99" s="15" t="s">
        <v>2558</v>
      </c>
      <c r="T99" s="15" t="s">
        <v>2559</v>
      </c>
    </row>
    <row r="100" spans="1:20">
      <c r="A100" s="15" t="s">
        <v>2531</v>
      </c>
      <c r="B100" s="15" t="s">
        <v>2558</v>
      </c>
      <c r="C100" s="15" t="s">
        <v>2553</v>
      </c>
      <c r="D100" s="15" t="s">
        <v>2558</v>
      </c>
      <c r="E100" s="15" t="s">
        <v>2535</v>
      </c>
      <c r="F100" s="15" t="s">
        <v>2532</v>
      </c>
      <c r="G100" s="15" t="s">
        <v>2558</v>
      </c>
      <c r="H100" s="15" t="s">
        <v>2407</v>
      </c>
      <c r="I100" s="15" t="s">
        <v>2558</v>
      </c>
      <c r="J100" s="15" t="s">
        <v>2535</v>
      </c>
      <c r="K100" s="15" t="s">
        <v>2533</v>
      </c>
      <c r="L100" s="15" t="s">
        <v>2558</v>
      </c>
      <c r="M100" s="15" t="s">
        <v>1224</v>
      </c>
      <c r="N100" s="15" t="s">
        <v>2558</v>
      </c>
      <c r="O100" s="15" t="s">
        <v>2569</v>
      </c>
      <c r="P100" s="15" t="s">
        <v>2566</v>
      </c>
      <c r="Q100" s="15" t="s">
        <v>2558</v>
      </c>
      <c r="R100" s="15" t="s">
        <v>2567</v>
      </c>
      <c r="S100" s="15" t="s">
        <v>2558</v>
      </c>
      <c r="T100" s="15" t="s">
        <v>2559</v>
      </c>
    </row>
    <row r="101" spans="1:20">
      <c r="A101" s="15" t="s">
        <v>2531</v>
      </c>
      <c r="B101" s="15" t="s">
        <v>2558</v>
      </c>
      <c r="C101" s="15" t="s">
        <v>2553</v>
      </c>
      <c r="D101" s="15" t="s">
        <v>2558</v>
      </c>
      <c r="E101" s="15" t="s">
        <v>2535</v>
      </c>
      <c r="F101" s="15" t="s">
        <v>2532</v>
      </c>
      <c r="G101" s="15" t="s">
        <v>2558</v>
      </c>
      <c r="H101" s="15" t="s">
        <v>2407</v>
      </c>
      <c r="I101" s="15" t="s">
        <v>2558</v>
      </c>
      <c r="J101" s="15" t="s">
        <v>2535</v>
      </c>
      <c r="K101" s="15" t="s">
        <v>2533</v>
      </c>
      <c r="L101" s="15" t="s">
        <v>2558</v>
      </c>
      <c r="M101" s="15" t="s">
        <v>1229</v>
      </c>
      <c r="N101" s="15" t="s">
        <v>2558</v>
      </c>
      <c r="O101" s="15" t="s">
        <v>2569</v>
      </c>
      <c r="P101" s="15" t="s">
        <v>2566</v>
      </c>
      <c r="Q101" s="15" t="s">
        <v>2558</v>
      </c>
      <c r="R101" s="15" t="s">
        <v>2567</v>
      </c>
      <c r="S101" s="15" t="s">
        <v>2558</v>
      </c>
      <c r="T101" s="15" t="s">
        <v>2559</v>
      </c>
    </row>
    <row r="102" spans="1:20">
      <c r="A102" s="15" t="s">
        <v>2531</v>
      </c>
      <c r="B102" s="15" t="s">
        <v>2558</v>
      </c>
      <c r="C102" s="15" t="s">
        <v>2553</v>
      </c>
      <c r="D102" s="15" t="s">
        <v>2558</v>
      </c>
      <c r="E102" s="15" t="s">
        <v>2535</v>
      </c>
      <c r="F102" s="15" t="s">
        <v>2532</v>
      </c>
      <c r="G102" s="15" t="s">
        <v>2558</v>
      </c>
      <c r="H102" s="15" t="s">
        <v>2407</v>
      </c>
      <c r="I102" s="15" t="s">
        <v>2558</v>
      </c>
      <c r="J102" s="15" t="s">
        <v>2535</v>
      </c>
      <c r="K102" s="15" t="s">
        <v>2533</v>
      </c>
      <c r="L102" s="15" t="s">
        <v>2558</v>
      </c>
      <c r="M102" s="15" t="s">
        <v>1290</v>
      </c>
      <c r="N102" s="15" t="s">
        <v>2558</v>
      </c>
      <c r="O102" s="15" t="s">
        <v>2569</v>
      </c>
      <c r="P102" s="15" t="s">
        <v>2566</v>
      </c>
      <c r="Q102" s="15" t="s">
        <v>2558</v>
      </c>
      <c r="R102" s="15" t="s">
        <v>2567</v>
      </c>
      <c r="S102" s="15" t="s">
        <v>2558</v>
      </c>
      <c r="T102" s="15" t="s">
        <v>2559</v>
      </c>
    </row>
    <row r="103" spans="1:20">
      <c r="A103" s="15" t="s">
        <v>2531</v>
      </c>
      <c r="B103" s="15" t="s">
        <v>2558</v>
      </c>
      <c r="C103" s="15" t="s">
        <v>2553</v>
      </c>
      <c r="D103" s="15" t="s">
        <v>2558</v>
      </c>
      <c r="E103" s="15" t="s">
        <v>2535</v>
      </c>
      <c r="F103" s="15" t="s">
        <v>2532</v>
      </c>
      <c r="G103" s="15" t="s">
        <v>2558</v>
      </c>
      <c r="H103" s="15" t="s">
        <v>2407</v>
      </c>
      <c r="I103" s="15" t="s">
        <v>2558</v>
      </c>
      <c r="J103" s="15" t="s">
        <v>2535</v>
      </c>
      <c r="K103" s="15" t="s">
        <v>2533</v>
      </c>
      <c r="L103" s="15" t="s">
        <v>2558</v>
      </c>
      <c r="M103" s="15" t="s">
        <v>1306</v>
      </c>
      <c r="N103" s="15" t="s">
        <v>2558</v>
      </c>
      <c r="O103" s="15" t="s">
        <v>2569</v>
      </c>
      <c r="P103" s="15" t="s">
        <v>2566</v>
      </c>
      <c r="Q103" s="15" t="s">
        <v>2558</v>
      </c>
      <c r="R103" s="15" t="s">
        <v>2567</v>
      </c>
      <c r="S103" s="15" t="s">
        <v>2558</v>
      </c>
      <c r="T103" s="15" t="s">
        <v>2559</v>
      </c>
    </row>
    <row r="104" spans="1:20">
      <c r="A104" s="15" t="s">
        <v>2531</v>
      </c>
      <c r="B104" s="15" t="s">
        <v>2558</v>
      </c>
      <c r="C104" s="15" t="s">
        <v>2548</v>
      </c>
      <c r="D104" s="15" t="s">
        <v>2558</v>
      </c>
      <c r="E104" s="15" t="s">
        <v>2535</v>
      </c>
      <c r="F104" s="15" t="s">
        <v>2532</v>
      </c>
      <c r="G104" s="15" t="s">
        <v>2558</v>
      </c>
      <c r="H104" s="15" t="s">
        <v>2408</v>
      </c>
      <c r="I104" s="15" t="s">
        <v>2558</v>
      </c>
      <c r="J104" s="15" t="s">
        <v>2535</v>
      </c>
      <c r="K104" s="15" t="s">
        <v>2533</v>
      </c>
      <c r="L104" s="15" t="s">
        <v>2558</v>
      </c>
      <c r="M104" s="15" t="s">
        <v>956</v>
      </c>
      <c r="N104" s="15" t="s">
        <v>2558</v>
      </c>
      <c r="O104" s="15" t="s">
        <v>2569</v>
      </c>
      <c r="P104" s="15" t="s">
        <v>2566</v>
      </c>
      <c r="Q104" s="15" t="s">
        <v>2558</v>
      </c>
      <c r="R104" s="15" t="s">
        <v>2568</v>
      </c>
      <c r="S104" s="15" t="s">
        <v>2558</v>
      </c>
      <c r="T104" s="15" t="s">
        <v>2559</v>
      </c>
    </row>
    <row r="105" spans="1:20">
      <c r="A105" s="15" t="s">
        <v>2531</v>
      </c>
      <c r="B105" s="15" t="s">
        <v>2558</v>
      </c>
      <c r="C105" s="15" t="s">
        <v>2554</v>
      </c>
      <c r="D105" s="15" t="s">
        <v>2558</v>
      </c>
      <c r="E105" s="15" t="s">
        <v>2535</v>
      </c>
      <c r="F105" s="15" t="s">
        <v>2532</v>
      </c>
      <c r="G105" s="15" t="s">
        <v>2558</v>
      </c>
      <c r="H105" s="15" t="s">
        <v>2409</v>
      </c>
      <c r="I105" s="15" t="s">
        <v>2558</v>
      </c>
      <c r="J105" s="15" t="s">
        <v>2535</v>
      </c>
      <c r="K105" s="15" t="s">
        <v>2533</v>
      </c>
      <c r="L105" s="15" t="s">
        <v>2558</v>
      </c>
      <c r="M105" s="15" t="s">
        <v>1732</v>
      </c>
      <c r="N105" s="15" t="s">
        <v>2558</v>
      </c>
      <c r="O105" s="15" t="s">
        <v>2569</v>
      </c>
      <c r="P105" s="15" t="s">
        <v>2566</v>
      </c>
      <c r="Q105" s="15" t="s">
        <v>2558</v>
      </c>
      <c r="R105" s="15" t="s">
        <v>2568</v>
      </c>
      <c r="S105" s="15" t="s">
        <v>2558</v>
      </c>
      <c r="T105" s="15" t="s">
        <v>2559</v>
      </c>
    </row>
    <row r="107" spans="1:20" ht="13.9">
      <c r="A107" s="19" t="s">
        <v>2570</v>
      </c>
    </row>
    <row r="108" spans="1:20">
      <c r="A108" s="15" t="str">
        <f>"["&amp;_xlfn.CONCAT(A2:T105)&amp;"]"</f>
        <v>[{"city_id":"ILA","city_name":"宜蘭縣","station_id":"C0U940","Altitude":"Low"},{"city_id":"ILA","city_name":"宜蘭縣","station_id":"C0U520","Altitude":"High"},{"city_id":"ILA","city_name":"宜蘭縣","station_id":"C0U710","Altitude":"High"},{"city_id":"ILA","city_name":"宜蘭縣","station_id":"C0U720","Altitude":"High"},{"city_id":"ILA","city_name":"宜蘭縣","station_id":"C0U950","Altitude":"High"},{"city_id":"ILA","city_name":"宜蘭縣","station_id":"C0U960","Altitude":"High"},{"city_id":"ILA","city_name":"宜蘭縣","station_id":"C0U980","Altitude":"High"},{"city_id":"ILA","city_name":"宜蘭縣","station_id":"C0UA10","Altitude":"High"},{"city_id":"ILA","city_name":"宜蘭縣","station_id":"C0UA20","Altitude":"High"},{"city_id":"ILA","city_name":"宜蘭縣","station_id":"C0UA30","Altitude":"High"},{"city_id":"ILA","city_name":"宜蘭縣","station_id":"C0UA40","Altitude":"High"},{"city_id":"ILA","city_name":"宜蘭縣","station_id":"C0UA50","Altitude":"High"},{"city_id":"ILA","city_name":"宜蘭縣","station_id":"C0UA60","Altitude":"High"},{"city_id":"ILA","city_name":"宜蘭縣","station_id":"C0UA70","Altitude":"High"},{"city_id":"ILA","city_name":"宜蘭縣","station_id":"C0UB60","Altitude":"High"},{"city_id":"ILA","city_name":"宜蘭縣","station_id":"C0UB70","Altitude":"High"},{"city_id":"ILA","city_name":"宜蘭縣","station_id":"C0UB80","Altitude":"High"},{"city_id":"ILA","city_name":"宜蘭縣","station_id":"C0UB90","Altitude":"High"},{"city_id":"HUA","city_name":"花蓮縣","station_id":"C0Z061","Altitude":"Low"},{"city_id":"HUA","city_name":"花蓮縣","station_id":"C0T820","Altitude":"High"},{"city_id":"HUA","city_name":"花蓮縣","station_id":"C0T9B0","Altitude":"High"},{"city_id":"HUA","city_name":"花蓮縣","station_id":"C0T9G0","Altitude":"High"},{"city_id":"HUA","city_name":"花蓮縣","station_id":"C0T9H0","Altitude":"High"},{"city_id":"HUA","city_name":"花蓮縣","station_id":"C0TA40","Altitude":"High"},{"city_id":"HUA","city_name":"花蓮縣","station_id":"C0TA80","Altitude":"High"},{"city_id":"HUA","city_name":"花蓮縣","station_id":"C0Z050","Altitude":"High"},{"city_id":"HUA","city_name":"花蓮縣","station_id":"C0Z220","Altitude":"High"},{"city_id":"HUA","city_name":"花蓮縣","station_id":"C0Z250","Altitude":"High"},{"city_id":"HUA","city_name":"花蓮縣","station_id":"C0Z290","Altitude":"High"},{"city_id":"HUA","city_name":"花蓮縣","station_id":"C0Z320","Altitude":"High"},{"city_id":"KIN","city_name":"金門縣","station_id":"C0W150","Altitude":"Low"},{"city_id":"NTO","city_name":"南投縣","station_id":"C0H890","Altitude":"Low"},{"city_id":"NTO","city_name":"南投縣","station_id":"C0H9A0","Altitude":"High"},{"city_id":"NTO","city_name":"南投縣","station_id":"C0I010","Altitude":"High"},{"city_id":"NTO","city_name":"南投縣","station_id":"C0I080","Altitude":"High"},{"city_id":"NTO","city_name":"南投縣","station_id":"C0I370","Altitude":"High"},{"city_id":"NTO","city_name":"南投縣","station_id":"C0I390","Altitude":"High"},{"city_id":"NTO","city_name":"南投縣","station_id":"C0I480","Altitude":"High"},{"city_id":"NTO","city_name":"南投縣","station_id":"C0I490","Altitude":"High"},{"city_id":"PIF","city_name":"屏東縣","station_id":"C0R590","Altitude":"Low"},{"city_id":"PIF","city_name":"屏東縣","station_id":"C0R100","Altitude":"High"},{"city_id":"PIF","city_name":"屏東縣","station_id":"C0R130","Altitude":"High"},{"city_id":"PIF","city_name":"屏東縣","station_id":"C0R140","Altitude":"High"},{"city_id":"PIF","city_name":"屏東縣","station_id":"C0R440","Altitude":"High"},{"city_id":"PIF","city_name":"屏東縣","station_id":"C0R600","Altitude":"High"},{"city_id":"PIF","city_name":"屏東縣","station_id":"C0R750","Altitude":"High"},{"city_id":"PIF","city_name":"屏東縣","station_id":"C0R820","Altitude":"High"},{"city_id":"PIF","city_name":"屏東縣","station_id":"C0R840","Altitude":"High"},{"city_id":"MLI","city_name":"苗栗縣","station_id":"C0E750","Altitude":"Low"},{"city_id":"MLI","city_name":"苗栗縣","station_id":"C0E610","Altitude":"High"},{"city_id":"MLI","city_name":"苗栗縣","station_id":"C0E940","Altitude":"High"},{"city_id":"MLI","city_name":"苗栗縣","station_id":"C0E950","Altitude":"High"},{"city_id":"MLI","city_name":"苗栗縣","station_id":"C0E960","Altitude":"High"},{"city_id":"TYN","city_name":"桃園市","station_id":"C0C630","Altitude":"Low"},{"city_id":"TYN","city_name":"桃園市","station_id":"C0C460","Altitude":"High"},{"city_id":"TYN","city_name":"桃園市","station_id":"C0C790","Altitude":"High"},{"city_id":"TYN","city_name":"桃園市","station_id":"C0C800","Altitude":"High"},{"city_id":"KHH","city_name":"高雄市","station_id":"C0V740","Altitude":"Low"},{"city_id":"KHH","city_name":"高雄市","station_id":"C0V210","Altitude":"High"},{"city_id":"KEE","city_name":"基隆市","station_id":"C0B010","Altitude":"Low"},{"city_id":"LIE","city_name":"連江縣","station_id":"C0W110","Altitude":"Low"},{"city_id":"YUN","city_name":"雲林縣","station_id":"C0K330","Altitude":"Low"},{"city_id":"NTP","city_name":"新北市","station_id":"C0AC60","Altitude":"Low"},{"city_id":"NTP","city_name":"新北市","station_id":"C0A870","Altitude":"High"},{"city_id":"NTP","city_name":"新北市","station_id":"C0AH30","Altitude":"High"},{"city_id":"NTP","city_name":"新北市","station_id":"C0AH90","Altitude":"High"},{"city_id":"NTP","city_name":"新北市","station_id":"C0AK30","Altitude":"High"},{"city_id":"HSC","city_name":"新竹市","station_id":"C0D660","Altitude":"Low"},{"city_id":"HSQ","city_name":"新竹縣","station_id":"C0D650","Altitude":"Low"},{"city_id":"HSQ","city_name":"新竹縣","station_id":"C0D360","Altitude":"High"},{"city_id":"HSQ","city_name":"新竹縣","station_id":"C0D550","Altitude":"High"},{"city_id":"HSQ","city_name":"新竹縣","station_id":"C0D750","Altitude":"High"},{"city_id":"HSQ","city_name":"新竹縣","station_id":"C0D760","Altitude":"High"},{"city_id":"CYI","city_name":"嘉義市","station_id":"C0M730","Altitude":"Low"},{"city_id":"CYQ","city_name":"嘉義縣","station_id":"C0M760","Altitude":"Low"},{"city_id":"CYQ","city_name":"嘉義縣","station_id":"C0M530","Altitude":"High"},{"city_id":"CYQ","city_name":"嘉義縣","station_id":"C0M810","Altitude":"High"},{"city_id":"CYQ","city_name":"嘉義縣","station_id":"C0M820","Altitude":"High"},{"city_id":"CYQ","city_name":"嘉義縣","station_id":"C0M850","Altitude":"High"},{"city_id":"CYQ","city_name":"嘉義縣","station_id":"C0M860","Altitude":"High"},{"city_id":"CHA","city_name":"彰化縣","station_id":"C0G720","Altitude":"Low"},{"city_id":"TXG","city_name":"臺中市","station_id":"C0F850","Altitude":"Low"},{"city_id":"TXG","city_name":"臺中市","station_id":"C0F0C0","Altitude":"High"},{"city_id":"TXG","city_name":"臺中市","station_id":"C0F9V0","Altitude":"High"},{"city_id":"TXG","city_name":"臺中市","station_id":"C0FA60","Altitude":"High"},{"city_id":"TXG","city_name":"臺中市","station_id":"C0FA70","Altitude":"High"},{"city_id":"TXG","city_name":"臺中市","station_id":"C0FA80","Altitude":"High"},{"city_id":"TXG","city_name":"臺中市","station_id":"C0FB00","Altitude":"High"},{"city_id":"TXG","city_name":"臺中市","station_id":"C0FB10","Altitude":"High"},{"city_id":"TXG","city_name":"臺中市","station_id":"C0FB20","Altitude":"High"},{"city_id":"TXG","city_name":"臺中市","station_id":"C0FB30","Altitude":"High"},{"city_id":"TXG","city_name":"臺中市","station_id":"C0FB40","Altitude":"High"},{"city_id":"TPE","city_name":"臺北市","station_id":"C0A980","Altitude":"Low"},{"city_id":"TPE","city_name":"臺北市","station_id":"C0AC40","Altitude":"High"},{"city_id":"TTT","city_name":"臺東縣","station_id":"C0S890","Altitude":"Low"},{"city_id":"TTT","city_name":"臺東縣","station_id":"C0S660","Altitude":"High"},{"city_id":"TTT","city_name":"臺東縣","station_id":"C0S690","Altitude":"High"},{"city_id":"TTT","city_name":"臺東縣","station_id":"C0S700","Altitude":"High"},{"city_id":"TTT","city_name":"臺東縣","station_id":"C0S750","Altitude":"High"},{"city_id":"TTT","city_name":"臺東縣","station_id":"C0S760","Altitude":"High"},{"city_id":"TTT","city_name":"臺東縣","station_id":"C0S980","Altitude":"High"},{"city_id":"TTT","city_name":"臺東縣","station_id":"C0SA20","Altitude":"High"},{"city_id":"TNN","city_name":"臺南市","station_id":"C0O900","Altitude":"Low"},{"city_id":"PEN","city_name":"澎湖縣","station_id":"C0W130","Altitude":"Low"},]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站別清單(無人氣象站)</vt:lpstr>
      <vt:lpstr>Gemini建議</vt:lpstr>
      <vt:lpstr>對照表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智承 石</dc:creator>
  <cp:lastModifiedBy>智承 石</cp:lastModifiedBy>
  <dcterms:created xsi:type="dcterms:W3CDTF">2025-10-29T06:48:25Z</dcterms:created>
  <dcterms:modified xsi:type="dcterms:W3CDTF">2025-11-04T07:37:42Z</dcterms:modified>
</cp:coreProperties>
</file>